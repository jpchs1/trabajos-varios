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tinerario" sheetId="1" state="visible" r:id="rId3"/>
    <sheet name="Preguntas" sheetId="2" state="visible" r:id="rId4"/>
    <sheet name="Referencia" sheetId="3" state="visible" r:id="rId5"/>
  </sheets>
  <definedNames>
    <definedName function="false" hidden="false" localSheetId="0" name="_xlnm.Print_Titles" vbProcedure="false">Itinerario!$4:$4</definedName>
    <definedName function="false" hidden="true" localSheetId="0" name="_xlnm._FilterDatabase" vbProcedure="false">Itinerario!$A$4:$I$24</definedName>
    <definedName function="false" hidden="false" localSheetId="1" name="_xlnm.Print_Titles" vbProcedure="false">Preguntas!$4:$4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<sst xmlns="http://schemas.openxmlformats.org/spreadsheetml/2006/main" count="199" uniqueCount="138">
  <si>
    <t xml:space="preserve">Segar · San Pedro de Atacama · 22 al 26 de diciembre de 2026 · 4 pasajeros</t>
  </si>
  <si>
    <t xml:space="preserve">PARA EL OPERADOR: complete sólo las columnas H («¿Factible?») e I («Comentarios»), en amarillo. El resto es referencia. En «¿Factible?» ponga Sí, No o Con cambios.</t>
  </si>
  <si>
    <t xml:space="preserve">Fecha</t>
  </si>
  <si>
    <t xml:space="preserve">Día</t>
  </si>
  <si>
    <t xml:space="preserve">Inicio</t>
  </si>
  <si>
    <t xml:space="preserve">Fin</t>
  </si>
  <si>
    <t xml:space="preserve">Servicio</t>
  </si>
  <si>
    <t xml:space="preserve">Opera</t>
  </si>
  <si>
    <t xml:space="preserve">Qué necesitamos confirmar</t>
  </si>
  <si>
    <t xml:space="preserve">¿Factible?</t>
  </si>
  <si>
    <t xml:space="preserve">Comentarios del operador</t>
  </si>
  <si>
    <t xml:space="preserve">2026-12-00</t>
  </si>
  <si>
    <t xml:space="preserve">ejemplo</t>
  </si>
  <si>
    <t xml:space="preserve">00:00</t>
  </si>
  <si>
    <t xml:space="preserve">EJEMPLO — borre esta fila</t>
  </si>
  <si>
    <t xml:space="preserve">Tourevo</t>
  </si>
  <si>
    <t xml:space="preserve">Así se ve una línea llena.</t>
  </si>
  <si>
    <t xml:space="preserve">Con cambios</t>
  </si>
  <si>
    <t xml:space="preserve">Se puede, pero salida 10:00.</t>
  </si>
  <si>
    <t xml:space="preserve">2026-12-22</t>
  </si>
  <si>
    <t xml:space="preserve">martes 22</t>
  </si>
  <si>
    <t xml:space="preserve">15:33</t>
  </si>
  <si>
    <t xml:space="preserve">17:41</t>
  </si>
  <si>
    <t xml:space="preserve">Vuelo Santiago → Calama (CJC) · LATAM</t>
  </si>
  <si>
    <t xml:space="preserve">Cliente</t>
  </si>
  <si>
    <t xml:space="preserve">18:15</t>
  </si>
  <si>
    <t xml:space="preserve">19:15</t>
  </si>
  <si>
    <t xml:space="preserve">Traslado Calama → San Pedro de Atacama
Servicio privado. Recogida en la llegada del vuelo de las 17:41.</t>
  </si>
  <si>
    <t xml:space="preserve">Recogida en el aeropuerto de Calama a la llegada del vuelo LATAM de las 17:41.</t>
  </si>
  <si>
    <t xml:space="preserve">20:00</t>
  </si>
  <si>
    <t xml:space="preserve">Llegada y check-in en el hotel · resto de la noche libre para aclimatación</t>
  </si>
  <si>
    <t xml:space="preserve">Libre</t>
  </si>
  <si>
    <t xml:space="preserve">2026-12-23</t>
  </si>
  <si>
    <t xml:space="preserve">miércoles 23</t>
  </si>
  <si>
    <t xml:space="preserve">10:15</t>
  </si>
  <si>
    <t xml:space="preserve">14:15</t>
  </si>
  <si>
    <t xml:space="preserve">Complejo Laguna Cejar · flotación en Laguna Piedra + Ojos de Tebenquiche + Laguna de Tebenquiche
Salida del hotel 10:15 para estar en el complejo a las 10:50. Reemplaza el bloque de aclimatación: es un día de agua y salar, a nivel del salar (2.300 m), justo lo que corresponde antes de subir. El complejo cierra los martes; el 23 es miércoles.</t>
  </si>
  <si>
    <t xml:space="preserve">Salida 10:15 del hotel para llegar 10:50 al complejo: ¿es correcto el tiempo de camino? ¿El circuito completo (Piedra, Ojos y Tebenquiche) cierra a las 14:15? Y confirmar que el complejo abre el miércoles 23.</t>
  </si>
  <si>
    <t xml:space="preserve">17:15</t>
  </si>
  <si>
    <t xml:space="preserve">Almuerzo y tarde libre en el hotel
Tres horas de margen entre Cejar y el Valle de la Luna. El día queda con dos salidas y no tres.</t>
  </si>
  <si>
    <t xml:space="preserve">17:30</t>
  </si>
  <si>
    <t xml:space="preserve">20:45</t>
  </si>
  <si>
    <t xml:space="preserve">Valle de la Luna al atardecer</t>
  </si>
  <si>
    <t xml:space="preserve">¿Alcanza a las 17:30 para el circuito off circuit por el Vallecito, que se hace caminando? Es el que está cotizado.</t>
  </si>
  <si>
    <t xml:space="preserve">2026-12-24</t>
  </si>
  <si>
    <t xml:space="preserve">jueves 24</t>
  </si>
  <si>
    <t xml:space="preserve">09:30</t>
  </si>
  <si>
    <t xml:space="preserve">13:30</t>
  </si>
  <si>
    <t xml:space="preserve">Termas de Puritama · 3.500 m
Primera subida del viaje, después del día a nivel del salar. Miscanti, sobre 4.000 m, queda para el 25.</t>
  </si>
  <si>
    <t xml:space="preserve">14:30</t>
  </si>
  <si>
    <t xml:space="preserve">Almuerzo y descanso</t>
  </si>
  <si>
    <t xml:space="preserve">18:30</t>
  </si>
  <si>
    <t xml:space="preserve">Pukará de Quitor + Valle de la Muerte con sandboard
Medio día combinado, privado: Quitor 14:45 – 16:15, veinte minutos de traslado, Valle de la Muerte y sandboard 16:35 – 18:00, regreso 18:30. Están a quince minutos uno del otro y es como el cliente ya los quería, juntos. El sandboard cae al final, con la luz y la temperatura de la tarde.</t>
  </si>
  <si>
    <t xml:space="preserve">¿Lo operan como medio día combinado en ese orden y horario? Quitor está cotizado guiado a 2 h y acá va en 1 h 30. El sandboard está cotizado; los cuadriciclos no y no los operamos nosotros.</t>
  </si>
  <si>
    <t xml:space="preserve">Descanso antes de la cena</t>
  </si>
  <si>
    <t xml:space="preserve">22:00</t>
  </si>
  <si>
    <t xml:space="preserve">Cena de Nochebuena</t>
  </si>
  <si>
    <t xml:space="preserve">22:15</t>
  </si>
  <si>
    <t xml:space="preserve">23:59</t>
  </si>
  <si>
    <t xml:space="preserve">Astronomía privada
Recogida en el restaurante a las 22:10, no en el hotel: la cena termina 22:00.</t>
  </si>
  <si>
    <t xml:space="preserve">La luna esa noche está al 99% iluminada y ninguna otra noche del viaje es mejor. ¿Cómo lo manejan en un privado, orientándolo a luna y planetas? Y confirmar la recogida en el restaurante a las 22:10. Lo cotizado es el tour compartido: el privado hay que cotizarlo.</t>
  </si>
  <si>
    <t xml:space="preserve">2026-12-25</t>
  </si>
  <si>
    <t xml:space="preserve">viernes 25</t>
  </si>
  <si>
    <t xml:space="preserve">08:00</t>
  </si>
  <si>
    <t xml:space="preserve">18:00</t>
  </si>
  <si>
    <t xml:space="preserve">Altiplano · Chaxa, Toconao, Miscanti y Piedras Rojas
Almuerzo en hábitat natural.</t>
  </si>
  <si>
    <t xml:space="preserve">Confirmar el alcance: entra Chaxa, con su propia entrada, y salen Tuyajto y las protoaldeas que estaban cotizadas. ¿Cómo queda el valor y qué entradas se compran por adelantado?</t>
  </si>
  <si>
    <t xml:space="preserve">21:30</t>
  </si>
  <si>
    <t xml:space="preserve">Cena</t>
  </si>
  <si>
    <t xml:space="preserve">2026-12-26</t>
  </si>
  <si>
    <t xml:space="preserve">sábado 26</t>
  </si>
  <si>
    <t xml:space="preserve">10:00</t>
  </si>
  <si>
    <t xml:space="preserve">Mañana libre en San Pedro · desayuno y check-out
El último día queda sin excursiones. Quitor se movió al 24.</t>
  </si>
  <si>
    <t xml:space="preserve">10:24</t>
  </si>
  <si>
    <t xml:space="preserve">11:44</t>
  </si>
  <si>
    <t xml:space="preserve">Traslado San Pedro → Calama
Llega 11:44 para el vuelo de las 13:44: dos horas de margen.</t>
  </si>
  <si>
    <t xml:space="preserve">13:44</t>
  </si>
  <si>
    <t xml:space="preserve">15:52</t>
  </si>
  <si>
    <t xml:space="preserve">Vuelo Calama → Santiago · LATAM</t>
  </si>
  <si>
    <t xml:space="preserve">23:45</t>
  </si>
  <si>
    <t xml:space="preserve">Check-in internacional en Santiago</t>
  </si>
  <si>
    <t xml:space="preserve">Vuelo Santiago → Dallas · AA940</t>
  </si>
  <si>
    <t xml:space="preserve">Preguntas que no cuelgan de una línea del itinerario</t>
  </si>
  <si>
    <t xml:space="preserve">Complete sólo la columna D («Respuesta del operador»), en amarillo.</t>
  </si>
  <si>
    <t xml:space="preserve">Nº</t>
  </si>
  <si>
    <t xml:space="preserve">Pregunta</t>
  </si>
  <si>
    <t xml:space="preserve">Detalle</t>
  </si>
  <si>
    <t xml:space="preserve">Respuesta del operador</t>
  </si>
  <si>
    <t xml:space="preserve">Sí, sin recargo.</t>
  </si>
  <si>
    <t xml:space="preserve">Disponibilidad y recargo del 24 y 25 de diciembre</t>
  </si>
  <si>
    <t xml:space="preserve">Nochebuena y Navidad, con el full day del altiplano el 25. Es lo primero que hay que cerrar: si el 25 no hay operación, se rearma el programa.</t>
  </si>
  <si>
    <t xml:space="preserve">Tarifas para 4 pasajeros</t>
  </si>
  <si>
    <t xml:space="preserve">La cotización original iba sobre 2 en las alternativas de trekking, con tarifa mínima de grupo. Necesitamos el valor para 4.</t>
  </si>
  <si>
    <t xml:space="preserve">Vehículo del full day</t>
  </si>
  <si>
    <t xml:space="preserve">Con 4 pasajeros más guía-conductor y equipaje en una salida de diez horas al altiplano, ¿qué vehículo asignan?</t>
  </si>
  <si>
    <t xml:space="preserve">Valle del Arcoíris: hoy no cabe</t>
  </si>
  <si>
    <t xml:space="preserve">El cliente lo había pedido. Con el 26 libre y el resto de los días completos, no queda espacio sin sacar otra cosa. ¿Lo operan como media jornada propia y en qué horario? Así el cliente decide con el dato a la vista.</t>
  </si>
  <si>
    <t xml:space="preserve">COT-2026-0160 · referencia interna</t>
  </si>
  <si>
    <t xml:space="preserve">QUÉ CAMBIÓ RESPECTO DE LO QUE EL CLIENTE YA VIO</t>
  </si>
  <si>
    <t xml:space="preserve">Cejar pasa a la mañana del 23 y es la aclimatación</t>
  </si>
  <si>
    <t xml:space="preserve">Salida del hotel 10:15 para estar en el complejo a las 10:50, y vuelta 14:15. El bloque que decía «aclimatación» pasa a ser esto: flotar en Laguna Piedra es exactamente la forma de pasar el primer día completo sin esforzarse. Además ordena la altura: el 23 a nivel del salar (2.300 m), el 24 en Puritama (3.500 m) y el 25 en Miscanti (sobre 4.000 m). El complejo cierra los martes; el único martes del viaje es el 22, que es día de llegada y no tiene excursiones.</t>
  </si>
  <si>
    <t xml:space="preserve">Quitor y el Valle de la Muerte van juntos la tarde del 24</t>
  </si>
  <si>
    <t xml:space="preserve">Un solo medio día privado de 14:30 a 18:30: Quitor primero, veinte minutos de traslado, y el sandboard en el Valle de la Muerte al final. Están a quince minutos uno del otro, así que es un vehículo y un guía en vez de dos salidas. Es también lo que el cliente ya había decidido —quedarse con Quitor y el Valle de la Muerte juntos— y es lo que libera el 26.</t>
  </si>
  <si>
    <t xml:space="preserve">El 26 queda libre</t>
  </si>
  <si>
    <t xml:space="preserve">Sin excursiones. Mañana libre, check-out, y a las 10:24 el traslado a Calama para el vuelo de las 13:44.</t>
  </si>
  <si>
    <t xml:space="preserve">El 23 por la tarde y el 22 por la noche quedan libres</t>
  </si>
  <si>
    <t xml:space="preserve">El 22 se llega al hotel 19:15 y no se programa nada más. El 23 hay tres horas entre Cejar y el Valle de la Luna. Ningún día del programa lleva más de dos salidas.</t>
  </si>
  <si>
    <t xml:space="preserve">VALORES COTIZADOS</t>
  </si>
  <si>
    <t xml:space="preserve">Servicio cotizado</t>
  </si>
  <si>
    <t xml:space="preserve">Servicio p/p</t>
  </si>
  <si>
    <t xml:space="preserve">Entradas p/p</t>
  </si>
  <si>
    <t xml:space="preserve">Subtotal p/p</t>
  </si>
  <si>
    <t xml:space="preserve">Total 4 pax</t>
  </si>
  <si>
    <t xml:space="preserve">Traslado de llegada · Aeropuerto El Loa → San Pedro</t>
  </si>
  <si>
    <t xml:space="preserve">Termas de Puritama</t>
  </si>
  <si>
    <t xml:space="preserve">Valle de la Luna Sur</t>
  </si>
  <si>
    <t xml:space="preserve">Tour astronómico</t>
  </si>
  <si>
    <t xml:space="preserve">Valle de Marte + Sandboard</t>
  </si>
  <si>
    <t xml:space="preserve">Laguna Cejar + Ojos de Tebenquiche + Laguna de Tebenquiche</t>
  </si>
  <si>
    <t xml:space="preserve">Piedras Rojas + Laguna Tuyajto + Lagunas Altiplánicas + Protoaldeas + Pueblos</t>
  </si>
  <si>
    <t xml:space="preserve">Tour arqueológico · Pukará de Quitor</t>
  </si>
  <si>
    <t xml:space="preserve">Traslado de salida · San Pedro → Aeropuerto El Loa</t>
  </si>
  <si>
    <t xml:space="preserve">TOTAL DEL PACK</t>
  </si>
  <si>
    <t xml:space="preserve">RESUMEN Y FUENTES</t>
  </si>
  <si>
    <t xml:space="preserve">Bloques del itinerario</t>
  </si>
  <si>
    <t xml:space="preserve">De ellos, servicios Tourevo</t>
  </si>
  <si>
    <t xml:space="preserve">Total del pack por persona</t>
  </si>
  <si>
    <t xml:space="preserve">Total del pack para 4 pax</t>
  </si>
  <si>
    <t xml:space="preserve">Itinerario</t>
  </si>
  <si>
    <t xml:space="preserve">itinerario.mjs, la misma fuente que el PDF del itinerario propuesto. Horarios y notas no se escriben dos veces.</t>
  </si>
  <si>
    <t xml:space="preserve">Valores</t>
  </si>
  <si>
    <t xml:space="preserve">contenido.mjs, la misma fuente que la cotización COT-2026-0160. Sujetos a recotización: astronomía privada, alcance del full day del 25 y el medio día combinado Quitor + Valle de la Muerte.</t>
  </si>
  <si>
    <t xml:space="preserve">Cejar cierra los martes</t>
  </si>
  <si>
    <t xml:space="preserve">Dato del cliente. El único martes del viaje es el 22, día de llegada sin excursiones, así que no afecta.</t>
  </si>
  <si>
    <t xml:space="preserve">Fase lunar del 24</t>
  </si>
  <si>
    <t xml:space="preserve">Cálculo propio sobre la luna nueva del 6 ene 2000: la noche del 24 va al 99,4% de iluminación y ninguna otra noche del viaje baja del 92%.</t>
  </si>
  <si>
    <t xml:space="preserve">Tiempos de camino</t>
  </si>
  <si>
    <t xml:space="preserve">Estimados: San Pedro a Cejar unos 35 minutos, Quitor a Valle de la Muerte unos 20. Los confirma el operador.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</si>
</sst>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16232B"/>
      <name val="Arial"/>
      <family val="0"/>
      <charset val="1"/>
    </font>
    <font>
      <sz val="10"/>
      <color rgb="FFA0561F"/>
      <name val="Arial"/>
      <family val="0"/>
      <charset val="1"/>
    </font>
    <font>
      <b val="true"/>
      <sz val="9"/>
      <color rgb="FFFFFFFF"/>
      <name val="Arial"/>
      <family val="0"/>
      <charset val="1"/>
    </font>
    <font>
      <i val="true"/>
      <sz val="9"/>
      <color rgb="FF566A72"/>
      <name val="Arial"/>
      <family val="0"/>
      <charset val="1"/>
    </font>
    <font>
      <sz val="10"/>
      <color rgb="FF566A72"/>
      <name val="Arial"/>
      <family val="0"/>
      <charset val="1"/>
    </font>
    <font>
      <sz val="10"/>
      <color rgb="FF16232B"/>
      <name val="Arial"/>
      <family val="0"/>
      <charset val="1"/>
    </font>
    <font>
      <b val="true"/>
      <sz val="10"/>
      <color rgb="FF16232B"/>
      <name val="Arial"/>
      <family val="0"/>
      <charset val="1"/>
    </font>
    <font>
      <b val="true"/>
      <sz val="10"/>
      <color rgb="FF0B5B54"/>
      <name val="Arial"/>
      <family val="0"/>
      <charset val="1"/>
    </font>
    <font>
      <b val="true"/>
      <sz val="10"/>
      <color rgb="FF0F766E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B5B54"/>
        <bgColor rgb="FF0F766E"/>
      </patternFill>
    </fill>
    <fill>
      <patternFill patternType="solid">
        <fgColor rgb="FFFFF9DB"/>
        <bgColor rgb="FFFDF3E9"/>
      </patternFill>
    </fill>
    <fill>
      <patternFill patternType="solid">
        <fgColor rgb="FFF3F8F8"/>
        <bgColor rgb="FFEAF5F3"/>
      </patternFill>
    </fill>
    <fill>
      <patternFill patternType="solid">
        <fgColor rgb="FFFDF3E9"/>
        <bgColor rgb="FFFFF9DB"/>
      </patternFill>
    </fill>
    <fill>
      <patternFill patternType="solid">
        <fgColor rgb="FFEAF5F3"/>
        <bgColor rgb="FFF3F8F8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3E0E0"/>
      </left>
      <right style="thin">
        <color rgb="FFD3E0E0"/>
      </right>
      <top style="thin">
        <color rgb="FFD3E0E0"/>
      </top>
      <bottom style="thin">
        <color rgb="FFD3E0E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5" fontId="12" fillId="0" borderId="1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1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0B5B54"/>
          <bgColor rgb="FF000000"/>
        </patternFill>
      </fill>
    </dxf>
    <dxf>
      <fill>
        <patternFill patternType="solid">
          <fgColor rgb="FFF3F8F8"/>
          <bgColor rgb="FF000000"/>
        </patternFill>
      </fill>
    </dxf>
    <dxf>
      <fill>
        <patternFill patternType="solid">
          <fgColor rgb="FFFDF3E9"/>
          <bgColor rgb="FF000000"/>
        </patternFill>
      </fill>
    </dxf>
    <dxf>
      <fill>
        <patternFill patternType="solid">
          <fgColor rgb="FFFFF9D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6232B"/>
          <bgColor rgb="FF000000"/>
        </patternFill>
      </fill>
    </dxf>
    <dxf>
      <fill>
        <patternFill patternType="solid">
          <fgColor rgb="FF566A72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766E"/>
      <rgbColor rgb="FFC0C0C0"/>
      <rgbColor rgb="FF808080"/>
      <rgbColor rgb="FF9999FF"/>
      <rgbColor rgb="FF993366"/>
      <rgbColor rgb="FFFFF9DB"/>
      <rgbColor rgb="FFEAF5F3"/>
      <rgbColor rgb="FF660066"/>
      <rgbColor rgb="FFFF8080"/>
      <rgbColor rgb="FF0066CC"/>
      <rgbColor rgb="FFD3E0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8F8"/>
      <rgbColor rgb="FFCCFFCC"/>
      <rgbColor rgb="FFFDF3E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66A72"/>
      <rgbColor rgb="FF969696"/>
      <rgbColor rgb="FF0B5B54"/>
      <rgbColor rgb="FF339966"/>
      <rgbColor rgb="FF003300"/>
      <rgbColor rgb="FF333300"/>
      <rgbColor rgb="FFA0561F"/>
      <rgbColor rgb="FF993366"/>
      <rgbColor rgb="FF333399"/>
      <rgbColor rgb="FF1623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3"/>
    <col collapsed="false" customWidth="true" hidden="false" outlineLevel="0" max="4" min="3" style="0" width="8"/>
    <col collapsed="false" customWidth="true" hidden="false" outlineLevel="0" max="5" min="5" style="0" width="52"/>
    <col collapsed="false" customWidth="true" hidden="false" outlineLevel="0" max="6" min="6" style="0" width="10"/>
    <col collapsed="false" customWidth="true" hidden="false" outlineLevel="0" max="7" min="7" style="0" width="60"/>
    <col collapsed="false" customWidth="true" hidden="false" outlineLevel="0" max="8" min="8" style="0" width="13"/>
    <col collapsed="false" customWidth="true" hidden="false" outlineLevel="0" max="9" min="9" style="0" width="40"/>
  </cols>
  <sheetData>
    <row r="1" customFormat="false" ht="16.15" hidden="false" customHeight="fals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</row>
    <row r="2" customFormat="false" ht="15.7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</row>
    <row r="4" customFormat="false" ht="25.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</row>
    <row r="5" customFormat="false" ht="15" hidden="false" customHeight="false" outlineLevel="0" collapsed="false">
      <c r="A5" s="4" t="s">
        <v>11</v>
      </c>
      <c r="B5" s="4" t="s">
        <v>12</v>
      </c>
      <c r="C5" s="4" t="s">
        <v>13</v>
      </c>
      <c r="D5" s="4" t="s">
        <v>13</v>
      </c>
      <c r="E5" s="4" t="s">
        <v>14</v>
      </c>
      <c r="F5" s="4" t="s">
        <v>15</v>
      </c>
      <c r="G5" s="4" t="s">
        <v>16</v>
      </c>
      <c r="H5" s="4" t="s">
        <v>17</v>
      </c>
      <c r="I5" s="4" t="s">
        <v>18</v>
      </c>
    </row>
    <row r="6" customFormat="false" ht="15" hidden="false" customHeight="false" outlineLevel="0" collapsed="false">
      <c r="A6" s="5" t="s">
        <v>19</v>
      </c>
      <c r="B6" s="5" t="s">
        <v>20</v>
      </c>
      <c r="C6" s="6" t="s">
        <v>21</v>
      </c>
      <c r="D6" s="6" t="s">
        <v>22</v>
      </c>
      <c r="E6" s="5" t="s">
        <v>23</v>
      </c>
      <c r="F6" s="6" t="s">
        <v>24</v>
      </c>
      <c r="G6" s="5"/>
      <c r="H6" s="7"/>
      <c r="I6" s="7"/>
    </row>
    <row r="7" customFormat="false" ht="23.85" hidden="false" customHeight="false" outlineLevel="0" collapsed="false">
      <c r="A7" s="8" t="s">
        <v>19</v>
      </c>
      <c r="B7" s="8" t="s">
        <v>20</v>
      </c>
      <c r="C7" s="9" t="s">
        <v>25</v>
      </c>
      <c r="D7" s="9" t="s">
        <v>26</v>
      </c>
      <c r="E7" s="10" t="s">
        <v>27</v>
      </c>
      <c r="F7" s="9" t="s">
        <v>15</v>
      </c>
      <c r="G7" s="8" t="s">
        <v>28</v>
      </c>
      <c r="H7" s="11"/>
      <c r="I7" s="11"/>
    </row>
    <row r="8" customFormat="false" ht="15" hidden="false" customHeight="false" outlineLevel="0" collapsed="false">
      <c r="A8" s="5" t="s">
        <v>19</v>
      </c>
      <c r="B8" s="5" t="s">
        <v>20</v>
      </c>
      <c r="C8" s="6" t="s">
        <v>26</v>
      </c>
      <c r="D8" s="6" t="s">
        <v>29</v>
      </c>
      <c r="E8" s="5" t="s">
        <v>30</v>
      </c>
      <c r="F8" s="6" t="s">
        <v>31</v>
      </c>
      <c r="G8" s="5"/>
      <c r="H8" s="7"/>
      <c r="I8" s="7"/>
    </row>
    <row r="9" customFormat="false" ht="68.65" hidden="false" customHeight="false" outlineLevel="0" collapsed="false">
      <c r="A9" s="12" t="s">
        <v>32</v>
      </c>
      <c r="B9" s="12" t="s">
        <v>33</v>
      </c>
      <c r="C9" s="13" t="s">
        <v>34</v>
      </c>
      <c r="D9" s="13" t="s">
        <v>35</v>
      </c>
      <c r="E9" s="14" t="s">
        <v>36</v>
      </c>
      <c r="F9" s="13" t="s">
        <v>15</v>
      </c>
      <c r="G9" s="12" t="s">
        <v>37</v>
      </c>
      <c r="H9" s="11"/>
      <c r="I9" s="11"/>
    </row>
    <row r="10" customFormat="false" ht="35.05" hidden="false" customHeight="false" outlineLevel="0" collapsed="false">
      <c r="A10" s="5" t="s">
        <v>32</v>
      </c>
      <c r="B10" s="5" t="s">
        <v>33</v>
      </c>
      <c r="C10" s="6" t="s">
        <v>35</v>
      </c>
      <c r="D10" s="6" t="s">
        <v>38</v>
      </c>
      <c r="E10" s="5" t="s">
        <v>39</v>
      </c>
      <c r="F10" s="6" t="s">
        <v>31</v>
      </c>
      <c r="G10" s="5"/>
      <c r="H10" s="7"/>
      <c r="I10" s="7"/>
    </row>
    <row r="11" customFormat="false" ht="23.85" hidden="false" customHeight="false" outlineLevel="0" collapsed="false">
      <c r="A11" s="8" t="s">
        <v>32</v>
      </c>
      <c r="B11" s="8" t="s">
        <v>33</v>
      </c>
      <c r="C11" s="9" t="s">
        <v>40</v>
      </c>
      <c r="D11" s="9" t="s">
        <v>41</v>
      </c>
      <c r="E11" s="10" t="s">
        <v>42</v>
      </c>
      <c r="F11" s="9" t="s">
        <v>15</v>
      </c>
      <c r="G11" s="8" t="s">
        <v>43</v>
      </c>
      <c r="H11" s="11"/>
      <c r="I11" s="11"/>
    </row>
    <row r="12" customFormat="false" ht="35.05" hidden="false" customHeight="false" outlineLevel="0" collapsed="false">
      <c r="A12" s="8" t="s">
        <v>44</v>
      </c>
      <c r="B12" s="8" t="s">
        <v>45</v>
      </c>
      <c r="C12" s="9" t="s">
        <v>46</v>
      </c>
      <c r="D12" s="9" t="s">
        <v>47</v>
      </c>
      <c r="E12" s="10" t="s">
        <v>48</v>
      </c>
      <c r="F12" s="9" t="s">
        <v>15</v>
      </c>
      <c r="G12" s="8"/>
      <c r="H12" s="11"/>
      <c r="I12" s="11"/>
    </row>
    <row r="13" customFormat="false" ht="15" hidden="false" customHeight="false" outlineLevel="0" collapsed="false">
      <c r="A13" s="5" t="s">
        <v>44</v>
      </c>
      <c r="B13" s="5" t="s">
        <v>45</v>
      </c>
      <c r="C13" s="6" t="s">
        <v>47</v>
      </c>
      <c r="D13" s="6" t="s">
        <v>49</v>
      </c>
      <c r="E13" s="5" t="s">
        <v>50</v>
      </c>
      <c r="F13" s="6" t="s">
        <v>31</v>
      </c>
      <c r="G13" s="5"/>
      <c r="H13" s="7"/>
      <c r="I13" s="7"/>
    </row>
    <row r="14" customFormat="false" ht="57.45" hidden="false" customHeight="false" outlineLevel="0" collapsed="false">
      <c r="A14" s="12" t="s">
        <v>44</v>
      </c>
      <c r="B14" s="12" t="s">
        <v>45</v>
      </c>
      <c r="C14" s="13" t="s">
        <v>49</v>
      </c>
      <c r="D14" s="13" t="s">
        <v>51</v>
      </c>
      <c r="E14" s="14" t="s">
        <v>52</v>
      </c>
      <c r="F14" s="13" t="s">
        <v>15</v>
      </c>
      <c r="G14" s="12" t="s">
        <v>53</v>
      </c>
      <c r="H14" s="11"/>
      <c r="I14" s="11"/>
    </row>
    <row r="15" customFormat="false" ht="15" hidden="false" customHeight="false" outlineLevel="0" collapsed="false">
      <c r="A15" s="5" t="s">
        <v>44</v>
      </c>
      <c r="B15" s="5" t="s">
        <v>45</v>
      </c>
      <c r="C15" s="6" t="s">
        <v>51</v>
      </c>
      <c r="D15" s="6" t="s">
        <v>29</v>
      </c>
      <c r="E15" s="5" t="s">
        <v>54</v>
      </c>
      <c r="F15" s="6" t="s">
        <v>31</v>
      </c>
      <c r="G15" s="5"/>
      <c r="H15" s="7"/>
      <c r="I15" s="7"/>
    </row>
    <row r="16" customFormat="false" ht="15" hidden="false" customHeight="false" outlineLevel="0" collapsed="false">
      <c r="A16" s="5" t="s">
        <v>44</v>
      </c>
      <c r="B16" s="5" t="s">
        <v>45</v>
      </c>
      <c r="C16" s="6" t="s">
        <v>29</v>
      </c>
      <c r="D16" s="6" t="s">
        <v>55</v>
      </c>
      <c r="E16" s="5" t="s">
        <v>56</v>
      </c>
      <c r="F16" s="6" t="s">
        <v>24</v>
      </c>
      <c r="G16" s="5"/>
      <c r="H16" s="7"/>
      <c r="I16" s="7"/>
    </row>
    <row r="17" customFormat="false" ht="35.05" hidden="false" customHeight="false" outlineLevel="0" collapsed="false">
      <c r="A17" s="8" t="s">
        <v>44</v>
      </c>
      <c r="B17" s="8" t="s">
        <v>45</v>
      </c>
      <c r="C17" s="9" t="s">
        <v>57</v>
      </c>
      <c r="D17" s="9" t="s">
        <v>58</v>
      </c>
      <c r="E17" s="10" t="s">
        <v>59</v>
      </c>
      <c r="F17" s="9" t="s">
        <v>15</v>
      </c>
      <c r="G17" s="8" t="s">
        <v>60</v>
      </c>
      <c r="H17" s="11"/>
      <c r="I17" s="11"/>
    </row>
    <row r="18" customFormat="false" ht="23.85" hidden="false" customHeight="false" outlineLevel="0" collapsed="false">
      <c r="A18" s="8" t="s">
        <v>61</v>
      </c>
      <c r="B18" s="8" t="s">
        <v>62</v>
      </c>
      <c r="C18" s="9" t="s">
        <v>63</v>
      </c>
      <c r="D18" s="9" t="s">
        <v>64</v>
      </c>
      <c r="E18" s="10" t="s">
        <v>65</v>
      </c>
      <c r="F18" s="9" t="s">
        <v>15</v>
      </c>
      <c r="G18" s="8" t="s">
        <v>66</v>
      </c>
      <c r="H18" s="11"/>
      <c r="I18" s="11"/>
    </row>
    <row r="19" customFormat="false" ht="15" hidden="false" customHeight="false" outlineLevel="0" collapsed="false">
      <c r="A19" s="5" t="s">
        <v>61</v>
      </c>
      <c r="B19" s="5" t="s">
        <v>62</v>
      </c>
      <c r="C19" s="6" t="s">
        <v>29</v>
      </c>
      <c r="D19" s="6" t="s">
        <v>67</v>
      </c>
      <c r="E19" s="5" t="s">
        <v>68</v>
      </c>
      <c r="F19" s="6" t="s">
        <v>24</v>
      </c>
      <c r="G19" s="5"/>
      <c r="H19" s="7"/>
      <c r="I19" s="7"/>
    </row>
    <row r="20" customFormat="false" ht="23.85" hidden="false" customHeight="false" outlineLevel="0" collapsed="false">
      <c r="A20" s="5" t="s">
        <v>69</v>
      </c>
      <c r="B20" s="5" t="s">
        <v>70</v>
      </c>
      <c r="C20" s="6" t="s">
        <v>63</v>
      </c>
      <c r="D20" s="6" t="s">
        <v>71</v>
      </c>
      <c r="E20" s="5" t="s">
        <v>72</v>
      </c>
      <c r="F20" s="6" t="s">
        <v>31</v>
      </c>
      <c r="G20" s="5"/>
      <c r="H20" s="7"/>
      <c r="I20" s="7"/>
    </row>
    <row r="21" customFormat="false" ht="23.85" hidden="false" customHeight="false" outlineLevel="0" collapsed="false">
      <c r="A21" s="8" t="s">
        <v>69</v>
      </c>
      <c r="B21" s="8" t="s">
        <v>70</v>
      </c>
      <c r="C21" s="9" t="s">
        <v>73</v>
      </c>
      <c r="D21" s="9" t="s">
        <v>74</v>
      </c>
      <c r="E21" s="10" t="s">
        <v>75</v>
      </c>
      <c r="F21" s="9" t="s">
        <v>15</v>
      </c>
      <c r="G21" s="8"/>
      <c r="H21" s="11"/>
      <c r="I21" s="11"/>
    </row>
    <row r="22" customFormat="false" ht="15" hidden="false" customHeight="false" outlineLevel="0" collapsed="false">
      <c r="A22" s="5" t="s">
        <v>69</v>
      </c>
      <c r="B22" s="5" t="s">
        <v>70</v>
      </c>
      <c r="C22" s="6" t="s">
        <v>76</v>
      </c>
      <c r="D22" s="6" t="s">
        <v>77</v>
      </c>
      <c r="E22" s="5" t="s">
        <v>78</v>
      </c>
      <c r="F22" s="6" t="s">
        <v>24</v>
      </c>
      <c r="G22" s="5"/>
      <c r="H22" s="7"/>
      <c r="I22" s="7"/>
    </row>
    <row r="23" customFormat="false" ht="15" hidden="false" customHeight="false" outlineLevel="0" collapsed="false">
      <c r="A23" s="5" t="s">
        <v>69</v>
      </c>
      <c r="B23" s="5" t="s">
        <v>70</v>
      </c>
      <c r="C23" s="6" t="s">
        <v>29</v>
      </c>
      <c r="D23" s="6" t="s">
        <v>79</v>
      </c>
      <c r="E23" s="5" t="s">
        <v>80</v>
      </c>
      <c r="F23" s="6" t="s">
        <v>24</v>
      </c>
      <c r="G23" s="5"/>
      <c r="H23" s="7"/>
      <c r="I23" s="7"/>
    </row>
    <row r="24" customFormat="false" ht="15" hidden="false" customHeight="false" outlineLevel="0" collapsed="false">
      <c r="A24" s="5" t="s">
        <v>69</v>
      </c>
      <c r="B24" s="5" t="s">
        <v>70</v>
      </c>
      <c r="C24" s="6" t="s">
        <v>79</v>
      </c>
      <c r="D24" s="6" t="s">
        <v>58</v>
      </c>
      <c r="E24" s="5" t="s">
        <v>81</v>
      </c>
      <c r="F24" s="6" t="s">
        <v>24</v>
      </c>
      <c r="G24" s="5"/>
      <c r="H24" s="7"/>
      <c r="I24" s="7"/>
    </row>
  </sheetData>
  <autoFilter ref="A4:I24"/>
  <mergeCells count="2">
    <mergeCell ref="A1:I1"/>
    <mergeCell ref="A2:I2"/>
  </mergeCells>
  <printOptions headings="false" gridLines="false" gridLinesSet="true" horizontalCentered="false" verticalCentered="false"/>
  <pageMargins left="0.3" right="0.3" top="0.4" bottom="0.4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46"/>
    <col collapsed="false" customWidth="true" hidden="false" outlineLevel="0" max="3" min="3" style="0" width="72"/>
    <col collapsed="false" customWidth="true" hidden="false" outlineLevel="0" max="4" min="4" style="0" width="40"/>
  </cols>
  <sheetData>
    <row r="1" customFormat="false" ht="16.15" hidden="false" customHeight="false" outlineLevel="0" collapsed="false">
      <c r="A1" s="15" t="s">
        <v>82</v>
      </c>
    </row>
    <row r="2" customFormat="false" ht="15" hidden="false" customHeight="false" outlineLevel="0" collapsed="false">
      <c r="A2" s="16" t="s">
        <v>83</v>
      </c>
    </row>
    <row r="4" customFormat="false" ht="25.5" hidden="false" customHeight="true" outlineLevel="0" collapsed="false">
      <c r="A4" s="3" t="s">
        <v>84</v>
      </c>
      <c r="B4" s="3" t="s">
        <v>85</v>
      </c>
      <c r="C4" s="3" t="s">
        <v>86</v>
      </c>
      <c r="D4" s="3" t="s">
        <v>87</v>
      </c>
    </row>
    <row r="5" customFormat="false" ht="15" hidden="false" customHeight="false" outlineLevel="0" collapsed="false">
      <c r="A5" s="4" t="n">
        <v>0</v>
      </c>
      <c r="B5" s="4" t="s">
        <v>14</v>
      </c>
      <c r="C5" s="4" t="s">
        <v>16</v>
      </c>
      <c r="D5" s="4" t="s">
        <v>88</v>
      </c>
    </row>
    <row r="6" customFormat="false" ht="23.85" hidden="false" customHeight="false" outlineLevel="0" collapsed="false">
      <c r="A6" s="9" t="n">
        <v>1</v>
      </c>
      <c r="B6" s="10" t="s">
        <v>89</v>
      </c>
      <c r="C6" s="8" t="s">
        <v>90</v>
      </c>
      <c r="D6" s="11"/>
    </row>
    <row r="7" customFormat="false" ht="23.85" hidden="false" customHeight="false" outlineLevel="0" collapsed="false">
      <c r="A7" s="9" t="n">
        <v>2</v>
      </c>
      <c r="B7" s="10" t="s">
        <v>91</v>
      </c>
      <c r="C7" s="8" t="s">
        <v>92</v>
      </c>
      <c r="D7" s="11"/>
    </row>
    <row r="8" customFormat="false" ht="23.85" hidden="false" customHeight="false" outlineLevel="0" collapsed="false">
      <c r="A8" s="9" t="n">
        <v>3</v>
      </c>
      <c r="B8" s="10" t="s">
        <v>93</v>
      </c>
      <c r="C8" s="8" t="s">
        <v>94</v>
      </c>
      <c r="D8" s="11"/>
    </row>
    <row r="9" customFormat="false" ht="23.85" hidden="false" customHeight="false" outlineLevel="0" collapsed="false">
      <c r="A9" s="9" t="n">
        <v>4</v>
      </c>
      <c r="B9" s="10" t="s">
        <v>95</v>
      </c>
      <c r="C9" s="8" t="s">
        <v>96</v>
      </c>
      <c r="D9" s="11"/>
    </row>
  </sheetData>
  <printOptions headings="false" gridLines="false" gridLinesSet="true" horizontalCentered="false" verticalCentered="false"/>
  <pageMargins left="0.3" right="0.3" top="0.4" bottom="0.4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46"/>
    <col collapsed="false" customWidth="true" hidden="false" outlineLevel="0" max="6" min="3" style="0" width="16"/>
  </cols>
  <sheetData>
    <row r="1" customFormat="false" ht="16.15" hidden="false" customHeight="false" outlineLevel="0" collapsed="false">
      <c r="A1" s="15" t="s">
        <v>97</v>
      </c>
    </row>
    <row r="3" customFormat="false" ht="15" hidden="false" customHeight="false" outlineLevel="0" collapsed="false">
      <c r="A3" s="17" t="s">
        <v>98</v>
      </c>
    </row>
    <row r="4" customFormat="false" ht="247.75" hidden="false" customHeight="false" outlineLevel="0" collapsed="false">
      <c r="A4" s="18" t="n">
        <v>1</v>
      </c>
      <c r="B4" s="19" t="s">
        <v>99</v>
      </c>
      <c r="C4" s="20" t="s">
        <v>100</v>
      </c>
    </row>
    <row r="5" customFormat="false" ht="180.55" hidden="false" customHeight="false" outlineLevel="0" collapsed="false">
      <c r="A5" s="18" t="n">
        <v>2</v>
      </c>
      <c r="B5" s="19" t="s">
        <v>101</v>
      </c>
      <c r="C5" s="20" t="s">
        <v>102</v>
      </c>
    </row>
    <row r="6" customFormat="false" ht="57.45" hidden="false" customHeight="false" outlineLevel="0" collapsed="false">
      <c r="A6" s="18" t="n">
        <v>3</v>
      </c>
      <c r="B6" s="19" t="s">
        <v>103</v>
      </c>
      <c r="C6" s="20" t="s">
        <v>104</v>
      </c>
    </row>
    <row r="7" customFormat="false" ht="91" hidden="false" customHeight="false" outlineLevel="0" collapsed="false">
      <c r="A7" s="18" t="n">
        <v>4</v>
      </c>
      <c r="B7" s="19" t="s">
        <v>105</v>
      </c>
      <c r="C7" s="20" t="s">
        <v>106</v>
      </c>
    </row>
    <row r="9" customFormat="false" ht="15" hidden="false" customHeight="false" outlineLevel="0" collapsed="false">
      <c r="A9" s="17" t="s">
        <v>107</v>
      </c>
    </row>
    <row r="10" customFormat="false" ht="15" hidden="false" customHeight="false" outlineLevel="0" collapsed="false">
      <c r="A10" s="3" t="s">
        <v>84</v>
      </c>
      <c r="B10" s="3" t="s">
        <v>108</v>
      </c>
      <c r="C10" s="3" t="s">
        <v>109</v>
      </c>
      <c r="D10" s="3" t="s">
        <v>110</v>
      </c>
      <c r="E10" s="3" t="s">
        <v>111</v>
      </c>
      <c r="F10" s="3" t="s">
        <v>112</v>
      </c>
    </row>
    <row r="11" customFormat="false" ht="15" hidden="false" customHeight="false" outlineLevel="0" collapsed="false">
      <c r="A11" s="9" t="n">
        <v>1</v>
      </c>
      <c r="B11" s="8" t="s">
        <v>113</v>
      </c>
      <c r="C11" s="21" t="n">
        <v>30000</v>
      </c>
      <c r="D11" s="21" t="n">
        <v>0</v>
      </c>
      <c r="E11" s="22" t="n">
        <f aca="false">C11+D11</f>
        <v>30000</v>
      </c>
      <c r="F11" s="21" t="n">
        <f aca="false">E11*4</f>
        <v>120000</v>
      </c>
    </row>
    <row r="12" customFormat="false" ht="15" hidden="false" customHeight="false" outlineLevel="0" collapsed="false">
      <c r="A12" s="9" t="n">
        <v>2</v>
      </c>
      <c r="B12" s="8" t="s">
        <v>114</v>
      </c>
      <c r="C12" s="21" t="n">
        <v>75000</v>
      </c>
      <c r="D12" s="21" t="n">
        <v>35000</v>
      </c>
      <c r="E12" s="22" t="n">
        <f aca="false">C12+D12</f>
        <v>110000</v>
      </c>
      <c r="F12" s="21" t="n">
        <f aca="false">E12*4</f>
        <v>440000</v>
      </c>
    </row>
    <row r="13" customFormat="false" ht="15" hidden="false" customHeight="false" outlineLevel="0" collapsed="false">
      <c r="A13" s="9" t="n">
        <v>3</v>
      </c>
      <c r="B13" s="8" t="s">
        <v>115</v>
      </c>
      <c r="C13" s="21" t="n">
        <v>75000</v>
      </c>
      <c r="D13" s="21" t="n">
        <v>0</v>
      </c>
      <c r="E13" s="22" t="n">
        <f aca="false">C13+D13</f>
        <v>75000</v>
      </c>
      <c r="F13" s="21" t="n">
        <f aca="false">E13*4</f>
        <v>300000</v>
      </c>
    </row>
    <row r="14" customFormat="false" ht="15" hidden="false" customHeight="false" outlineLevel="0" collapsed="false">
      <c r="A14" s="9" t="n">
        <v>4</v>
      </c>
      <c r="B14" s="8" t="s">
        <v>116</v>
      </c>
      <c r="C14" s="21" t="n">
        <v>40000</v>
      </c>
      <c r="D14" s="21" t="n">
        <v>0</v>
      </c>
      <c r="E14" s="22" t="n">
        <f aca="false">C14+D14</f>
        <v>40000</v>
      </c>
      <c r="F14" s="21" t="n">
        <f aca="false">E14*4</f>
        <v>160000</v>
      </c>
    </row>
    <row r="15" customFormat="false" ht="15" hidden="false" customHeight="false" outlineLevel="0" collapsed="false">
      <c r="A15" s="9" t="n">
        <v>5</v>
      </c>
      <c r="B15" s="8" t="s">
        <v>117</v>
      </c>
      <c r="C15" s="21" t="n">
        <v>110000</v>
      </c>
      <c r="D15" s="21" t="n">
        <v>7500</v>
      </c>
      <c r="E15" s="22" t="n">
        <f aca="false">C15+D15</f>
        <v>117500</v>
      </c>
      <c r="F15" s="21" t="n">
        <f aca="false">E15*4</f>
        <v>470000</v>
      </c>
    </row>
    <row r="16" customFormat="false" ht="15" hidden="false" customHeight="false" outlineLevel="0" collapsed="false">
      <c r="A16" s="9" t="n">
        <v>6</v>
      </c>
      <c r="B16" s="8" t="s">
        <v>118</v>
      </c>
      <c r="C16" s="21" t="n">
        <v>80000</v>
      </c>
      <c r="D16" s="21" t="n">
        <v>21000</v>
      </c>
      <c r="E16" s="22" t="n">
        <f aca="false">C16+D16</f>
        <v>101000</v>
      </c>
      <c r="F16" s="21" t="n">
        <f aca="false">E16*4</f>
        <v>404000</v>
      </c>
    </row>
    <row r="17" customFormat="false" ht="23.85" hidden="false" customHeight="false" outlineLevel="0" collapsed="false">
      <c r="A17" s="9" t="n">
        <v>7</v>
      </c>
      <c r="B17" s="8" t="s">
        <v>119</v>
      </c>
      <c r="C17" s="21" t="n">
        <v>210000</v>
      </c>
      <c r="D17" s="21" t="n">
        <v>15000</v>
      </c>
      <c r="E17" s="22" t="n">
        <f aca="false">C17+D17</f>
        <v>225000</v>
      </c>
      <c r="F17" s="21" t="n">
        <f aca="false">E17*4</f>
        <v>900000</v>
      </c>
    </row>
    <row r="18" customFormat="false" ht="15" hidden="false" customHeight="false" outlineLevel="0" collapsed="false">
      <c r="A18" s="9" t="n">
        <v>8</v>
      </c>
      <c r="B18" s="8" t="s">
        <v>120</v>
      </c>
      <c r="C18" s="21" t="n">
        <v>75000</v>
      </c>
      <c r="D18" s="21" t="n">
        <v>6000</v>
      </c>
      <c r="E18" s="22" t="n">
        <f aca="false">C18+D18</f>
        <v>81000</v>
      </c>
      <c r="F18" s="21" t="n">
        <f aca="false">E18*4</f>
        <v>324000</v>
      </c>
    </row>
    <row r="19" customFormat="false" ht="15" hidden="false" customHeight="false" outlineLevel="0" collapsed="false">
      <c r="A19" s="9" t="n">
        <v>9</v>
      </c>
      <c r="B19" s="8" t="s">
        <v>121</v>
      </c>
      <c r="C19" s="21" t="n">
        <v>30000</v>
      </c>
      <c r="D19" s="21" t="n">
        <v>0</v>
      </c>
      <c r="E19" s="22" t="n">
        <f aca="false">C19+D19</f>
        <v>30000</v>
      </c>
      <c r="F19" s="21" t="n">
        <f aca="false">E19*4</f>
        <v>120000</v>
      </c>
    </row>
    <row r="20" customFormat="false" ht="15" hidden="false" customHeight="false" outlineLevel="0" collapsed="false">
      <c r="A20" s="23"/>
      <c r="B20" s="24" t="s">
        <v>122</v>
      </c>
      <c r="C20" s="25" t="n">
        <f aca="false">SUM(C11:C19)</f>
        <v>725000</v>
      </c>
      <c r="D20" s="25" t="n">
        <f aca="false">SUM(D11:D19)</f>
        <v>84500</v>
      </c>
      <c r="E20" s="25" t="n">
        <f aca="false">SUM(E11:E19)</f>
        <v>809500</v>
      </c>
      <c r="F20" s="25" t="n">
        <f aca="false">SUM(F11:F19)</f>
        <v>3238000</v>
      </c>
    </row>
    <row r="22" customFormat="false" ht="15" hidden="false" customHeight="false" outlineLevel="0" collapsed="false">
      <c r="A22" s="17" t="s">
        <v>123</v>
      </c>
    </row>
    <row r="23" customFormat="false" ht="15" hidden="false" customHeight="false" outlineLevel="0" collapsed="false">
      <c r="B23" s="26" t="s">
        <v>124</v>
      </c>
      <c r="C23" s="27" t="n">
        <f aca="false">COUNTA(Itinerario!A6:A24)</f>
        <v>19</v>
      </c>
    </row>
    <row r="24" customFormat="false" ht="15" hidden="false" customHeight="false" outlineLevel="0" collapsed="false">
      <c r="B24" s="26" t="s">
        <v>125</v>
      </c>
      <c r="C24" s="27" t="n">
        <f aca="false">COUNTIF(Itinerario!F6:F24,"Tourevo")</f>
        <v>8</v>
      </c>
    </row>
    <row r="25" customFormat="false" ht="15" hidden="false" customHeight="false" outlineLevel="0" collapsed="false">
      <c r="B25" s="26" t="s">
        <v>126</v>
      </c>
      <c r="C25" s="27" t="n">
        <f aca="false">E20</f>
        <v>809500</v>
      </c>
    </row>
    <row r="26" customFormat="false" ht="15" hidden="false" customHeight="false" outlineLevel="0" collapsed="false">
      <c r="B26" s="26" t="s">
        <v>127</v>
      </c>
      <c r="C26" s="27" t="n">
        <f aca="false">F20</f>
        <v>3238000</v>
      </c>
    </row>
    <row r="28" customFormat="false" ht="57.45" hidden="false" customHeight="false" outlineLevel="0" collapsed="false">
      <c r="B28" s="28" t="s">
        <v>128</v>
      </c>
      <c r="C28" s="20" t="s">
        <v>129</v>
      </c>
    </row>
    <row r="29" customFormat="false" ht="102.2" hidden="false" customHeight="false" outlineLevel="0" collapsed="false">
      <c r="B29" s="28" t="s">
        <v>130</v>
      </c>
      <c r="C29" s="20" t="s">
        <v>131</v>
      </c>
    </row>
    <row r="30" customFormat="false" ht="57.45" hidden="false" customHeight="false" outlineLevel="0" collapsed="false">
      <c r="B30" s="28" t="s">
        <v>132</v>
      </c>
      <c r="C30" s="20" t="s">
        <v>133</v>
      </c>
    </row>
    <row r="31" customFormat="false" ht="68.65" hidden="false" customHeight="false" outlineLevel="0" collapsed="false">
      <c r="B31" s="28" t="s">
        <v>134</v>
      </c>
      <c r="C31" s="20" t="s">
        <v>135</v>
      </c>
    </row>
    <row r="32" customFormat="false" ht="57.45" hidden="false" customHeight="false" outlineLevel="0" collapsed="false">
      <c r="B32" s="28" t="s">
        <v>136</v>
      </c>
      <c r="C32" s="20" t="s">
        <v>137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2026-08-24T13:54:39Z</dcterms:created>
  <dc:creator>openpyxl</dc:creator>
  <dc:description/>
  <dc:language>en-US</dc:language>
  <cp:lastModifiedBy/>
  <dcterms:modified xsi:type="dcterms:W3CDTF">2026-08-24T13:54:39Z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