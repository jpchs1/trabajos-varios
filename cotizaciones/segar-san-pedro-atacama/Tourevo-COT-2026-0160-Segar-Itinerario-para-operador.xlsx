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tinerario" sheetId="1" state="visible" r:id="rId3"/>
    <sheet name="Itinerary" sheetId="2" state="visible" r:id="rId4"/>
    <sheet name="Preguntas" sheetId="3" state="visible" r:id="rId5"/>
    <sheet name="Referencia" sheetId="4" state="visible" r:id="rId6"/>
  </sheets>
  <definedNames>
    <definedName function="false" hidden="false" localSheetId="0" name="_xlnm.Print_Titles" vbProcedure="false">Itinerario!$4:$4</definedName>
    <definedName function="false" hidden="true" localSheetId="0" name="_xlnm._FilterDatabase" vbProcedure="false">Itinerario!$A$4:$J$25</definedName>
    <definedName function="false" hidden="false" localSheetId="1" name="_xlnm.Print_Titles" vbProcedure="false">Itinerary!$4:$4</definedName>
    <definedName function="false" hidden="true" localSheetId="1" name="_xlnm._FilterDatabase" vbProcedure="false">Itinerary!$A$4:$J$25</definedName>
    <definedName function="false" hidden="false" localSheetId="2" name="_xlnm.Print_Titles" vbProcedure="false">Preguntas!$4:$4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<sst xmlns="http://schemas.openxmlformats.org/spreadsheetml/2006/main" count="376" uniqueCount="211">
  <si>
    <t xml:space="preserve">Segar · San Pedro de Atacama · 22 al 26 de diciembre de 2026 · 4 pasajeros</t>
  </si>
  <si>
    <t xml:space="preserve">PARA EL OPERADOR: complete sólo las columnas I («¿Factible?») y J («Comentarios»), en amarillo. El resto es referencia. En «¿Factible?» ponga Sí, No o Con cambios. La columna Nº numera los 9 servicios que operamos nosotros: las filas sin número son vuelos, comidas o tiempo libre. Las filas en ámbar cambiaron o necesitan una decisión.</t>
  </si>
  <si>
    <t xml:space="preserve">Nº</t>
  </si>
  <si>
    <t xml:space="preserve">Fecha</t>
  </si>
  <si>
    <t xml:space="preserve">Día</t>
  </si>
  <si>
    <t xml:space="preserve">Inicio</t>
  </si>
  <si>
    <t xml:space="preserve">Fin</t>
  </si>
  <si>
    <t xml:space="preserve">Servicio</t>
  </si>
  <si>
    <t xml:space="preserve">Opera</t>
  </si>
  <si>
    <t xml:space="preserve">Qué necesitamos confirmar</t>
  </si>
  <si>
    <t xml:space="preserve">¿Factible?</t>
  </si>
  <si>
    <t xml:space="preserve">Comentarios del operador</t>
  </si>
  <si>
    <t xml:space="preserve">0</t>
  </si>
  <si>
    <t xml:space="preserve">2026-12-00</t>
  </si>
  <si>
    <t xml:space="preserve">ejemplo</t>
  </si>
  <si>
    <t xml:space="preserve">00:00</t>
  </si>
  <si>
    <t xml:space="preserve">EJEMPLO — borre esta fila</t>
  </si>
  <si>
    <t xml:space="preserve">Tourevo</t>
  </si>
  <si>
    <t xml:space="preserve">Así se ve una línea llena.</t>
  </si>
  <si>
    <t xml:space="preserve">Con cambios</t>
  </si>
  <si>
    <t xml:space="preserve">Se puede, pero salida 10:00.</t>
  </si>
  <si>
    <t xml:space="preserve">2026-12-22</t>
  </si>
  <si>
    <t xml:space="preserve">martes 22</t>
  </si>
  <si>
    <t xml:space="preserve">15:33</t>
  </si>
  <si>
    <t xml:space="preserve">17:41</t>
  </si>
  <si>
    <t xml:space="preserve">Vuelo Santiago → Calama (CJC) · LATAM</t>
  </si>
  <si>
    <t xml:space="preserve">Cliente</t>
  </si>
  <si>
    <t xml:space="preserve">18:15</t>
  </si>
  <si>
    <t xml:space="preserve">20:00</t>
  </si>
  <si>
    <t xml:space="preserve">Traslado Calama → San Pedro de Atacama
El operador calcula el traslado en 1 h 45, no en la hora que teníamos: se llega al hotel 20:00 y no 19:15. Salida del aeropuerto 18:15, con 35 minutos desde que aterriza el vuelo.</t>
  </si>
  <si>
    <t xml:space="preserve">¿35 minutos entre que aterriza el vuelo de las 17:41 y sale el traslado alcanzan, o conviene dejar más?</t>
  </si>
  <si>
    <t xml:space="preserve">21:00</t>
  </si>
  <si>
    <t xml:space="preserve">Llegada y check-in en el hotel · resto de la noche libre</t>
  </si>
  <si>
    <t xml:space="preserve">Libre</t>
  </si>
  <si>
    <t xml:space="preserve">2026-12-23</t>
  </si>
  <si>
    <t xml:space="preserve">miércoles 23</t>
  </si>
  <si>
    <t xml:space="preserve">09:30</t>
  </si>
  <si>
    <t xml:space="preserve">11:30</t>
  </si>
  <si>
    <t xml:space="preserve">Pukará de Quitor · guiado
Con el 26 libre y Cejar tomando la tarde, la mañana del 23 es el único hueco que queda para Quitor. Son dos horas suaves a pasos del pueblo, así que no rompe el día de llegada.</t>
  </si>
  <si>
    <t xml:space="preserve">El operador aclara que Quitor y el sandboard son dos excursiones distintas aunque vayan el mismo medio día. Acá van en días distintos, así que se cobran separadas igual. ¿Confirman 09:30 – 11:30 el 23?</t>
  </si>
  <si>
    <t xml:space="preserve">15:15</t>
  </si>
  <si>
    <t xml:space="preserve">Almuerzo y descanso en el hotel</t>
  </si>
  <si>
    <t xml:space="preserve">15:30</t>
  </si>
  <si>
    <t xml:space="preserve">19:30</t>
  </si>
  <si>
    <t xml:space="preserve">Laguna Cejar · flotación en Laguna Piedra + Ojos de Tebenquiche + Laguna de Tebenquiche
Va por la tarde porque las agencias no pueden operar Cejar en la mañana. El horario es el que propuso el operador. La idea de la mañana relajada se cumple igual: el 23 arranca tarde y con sólo dos horas de Quitor antes.</t>
  </si>
  <si>
    <t xml:space="preserve">¿Confirmado 15:30 – 19:30 el miércoles 23?</t>
  </si>
  <si>
    <t xml:space="preserve">Vuelta al hotel, ducha y descanso
Hora y media entre salir del agua salada y la salida al cielo.</t>
  </si>
  <si>
    <t xml:space="preserve">23:00</t>
  </si>
  <si>
    <t xml:space="preserve">Tour astronómico · compartido
Vuelve al 23 y a modalidad compartida, que es lo que estaba cotizado: CLP 40.000 por persona contra los CLP 600.000 por el grupo que sale el privado el 24. Es además la noche que preguntó Segar.</t>
  </si>
  <si>
    <t xml:space="preserve">¿Opera el compartido la noche del 23 y se mantiene CLP 40.000 por persona? Aviso: esa noche la luna va al 99,9% de iluminación — el 24 está igual, así que cambiar de noche no mejora nada. Conviene que el guía lo oriente a luna y planetas.</t>
  </si>
  <si>
    <t xml:space="preserve">2026-12-24</t>
  </si>
  <si>
    <t xml:space="preserve">jueves 24</t>
  </si>
  <si>
    <t xml:space="preserve">13:30</t>
  </si>
  <si>
    <t xml:space="preserve">Termas de Puritama · 3.500 m</t>
  </si>
  <si>
    <t xml:space="preserve">¿Hay recargo por Nochebuena en Puritama? ¿Y se alcanza a estar de vuelta en San Pedro a las 13:30, con la salida siguiente a las 14:30?</t>
  </si>
  <si>
    <t xml:space="preserve">14:30</t>
  </si>
  <si>
    <t xml:space="preserve">Almuerzo y descanso</t>
  </si>
  <si>
    <t xml:space="preserve">16:30</t>
  </si>
  <si>
    <t xml:space="preserve">Valle de la Muerte · sandboard
Es lo que ya se le confirmó a Segar para el 24. Queda encadenado con el Valle de la Luna, que está al lado, con media hora entre uno y otro.</t>
  </si>
  <si>
    <t xml:space="preserve">¿Pueden encadenar sandboard 14:30 – 16:30 y Vallecito 17:00 – 21:00 el mismo día, con media hora entre medio? Están en la misma zona, pero el operador pidió dejar aire y queremos que alcance.</t>
  </si>
  <si>
    <t xml:space="preserve">17:00</t>
  </si>
  <si>
    <t xml:space="preserve">Valle de la Luna Sur · Vallecito al atardecer
Sale a las 17:00 porque el operador avisa que a las 17:30 ya no se alcanza a hacer bien. Y pasa al 24 porque el 23 lo toma Cejar: los dos son de tarde y no caben el mismo día.</t>
  </si>
  <si>
    <t xml:space="preserve">¿Confirmado 17:00 – 21:00 el 24? ¿Hay recargo de Nochebuena?</t>
  </si>
  <si>
    <t xml:space="preserve">21:30</t>
  </si>
  <si>
    <t xml:space="preserve">Cena de Nochebuena
Esto lo tiene que confirmar Segar. Estaba a las 20:00, pero el Vallecito termina 21:00. O la cena se corre a las 21:30 — que para Nochebuena en Chile es la hora normal — o el Valle de la Luna no puede ir el 24. Sin traslado nuestro: van en el shuttle del hotel.</t>
  </si>
  <si>
    <t xml:space="preserve">2026-12-25</t>
  </si>
  <si>
    <t xml:space="preserve">viernes 25</t>
  </si>
  <si>
    <t xml:space="preserve">08:00</t>
  </si>
  <si>
    <t xml:space="preserve">18:00</t>
  </si>
  <si>
    <t xml:space="preserve">Altiplano · Laguna Chaxa, Toconao, Miscanti y Piedras Rojas
Con Chaxa adentro el operador lo opera de 08:00 a 18:00 y el valor del 25 de diciembre queda en CLP 270.000 por persona, contra los 210.000 cotizados. Nos avisa que no lo recomienda: hace el día muy largo. Si se saca Chaxa, vuelve a ser más corto y más barato.</t>
  </si>
  <si>
    <t xml:space="preserve">¿Cuánto es la entrada de Chaxa, para sumarla a las que se compran por adelantado? Y si se saca Chaxa, ¿en cuánto queda el valor y el horario?</t>
  </si>
  <si>
    <t xml:space="preserve">Cena</t>
  </si>
  <si>
    <t xml:space="preserve">2026-12-26</t>
  </si>
  <si>
    <t xml:space="preserve">sábado 26</t>
  </si>
  <si>
    <t xml:space="preserve">09:45</t>
  </si>
  <si>
    <t xml:space="preserve">Mañana libre en San Pedro · desayuno y check-out
El último día queda sin excursiones.</t>
  </si>
  <si>
    <t xml:space="preserve">10:00</t>
  </si>
  <si>
    <t xml:space="preserve">11:45</t>
  </si>
  <si>
    <t xml:space="preserve">Traslado San Pedro → Calama
Se adelanta a las 10:00: con el traslado en 1 h 45, salir 10:24 dejaba menos de dos horas antes del vuelo. Llega 11:45 para el vuelo de las 13:44.</t>
  </si>
  <si>
    <t xml:space="preserve">¿Confirman recogida 10:00 en el hotel para llegar 11:45 a Calama?</t>
  </si>
  <si>
    <t xml:space="preserve">13:44</t>
  </si>
  <si>
    <t xml:space="preserve">15:52</t>
  </si>
  <si>
    <t xml:space="preserve">Vuelo Calama → Santiago · LATAM</t>
  </si>
  <si>
    <t xml:space="preserve">23:45</t>
  </si>
  <si>
    <t xml:space="preserve">Check-in internacional en Santiago</t>
  </si>
  <si>
    <t xml:space="preserve">23:59</t>
  </si>
  <si>
    <t xml:space="preserve">Vuelo Santiago → Dallas · AA940</t>
  </si>
  <si>
    <t xml:space="preserve">Segar · San Pedro de Atacama · 22 to 26 December 2026 · 4 travellers</t>
  </si>
  <si>
    <t xml:space="preserve">FOR THE OPERATOR: fill in only columns I (“Feasible?”) and J (“Comments”), in yellow. Everything else is for reference. Under “Feasible?” put Yes, No or With changes. Column Nº numbers the 9 services we operate: rows without a number are flights, meals or free time. Rows in amber changed or need a decision.</t>
  </si>
  <si>
    <t xml:space="preserve">Date</t>
  </si>
  <si>
    <t xml:space="preserve">Day</t>
  </si>
  <si>
    <t xml:space="preserve">Start</t>
  </si>
  <si>
    <t xml:space="preserve">End</t>
  </si>
  <si>
    <t xml:space="preserve">Service</t>
  </si>
  <si>
    <t xml:space="preserve">Operated by</t>
  </si>
  <si>
    <t xml:space="preserve">What we need confirmed</t>
  </si>
  <si>
    <t xml:space="preserve">Feasible?</t>
  </si>
  <si>
    <t xml:space="preserve">Operator comments</t>
  </si>
  <si>
    <t xml:space="preserve">example</t>
  </si>
  <si>
    <t xml:space="preserve">EXAMPLE — delete this row</t>
  </si>
  <si>
    <t xml:space="preserve">This is what a filled line looks like.</t>
  </si>
  <si>
    <t xml:space="preserve">With changes</t>
  </si>
  <si>
    <t xml:space="preserve">Doable, but departure at 10:00.</t>
  </si>
  <si>
    <t xml:space="preserve">Tuesday 22</t>
  </si>
  <si>
    <t xml:space="preserve">Flight Santiago → Calama (CJC) · LATAM</t>
  </si>
  <si>
    <t xml:space="preserve">Client</t>
  </si>
  <si>
    <t xml:space="preserve">Transfer Calama → San Pedro de Atacama
The operator calculates the transfer at 1 h 45, not the hour we had: you reach the hotel at 20:00, not 19:15. Departure from the airport at 18:15, 35 minutes after the flight lands.</t>
  </si>
  <si>
    <t xml:space="preserve">Are 35 minutes between the 17:41 landing and the transfer departure enough, or should we leave more?</t>
  </si>
  <si>
    <t xml:space="preserve">Arrival and check-in at the hotel · rest of the evening free</t>
  </si>
  <si>
    <t xml:space="preserve">Free</t>
  </si>
  <si>
    <t xml:space="preserve">Wednesday 23</t>
  </si>
  <si>
    <t xml:space="preserve">Pukará de Quitor · guided
With the 26th free and Cejar taking the afternoon, the morning of the 23rd is the only gap left for Quitor. Two gentle hours a step from the village, so it does not spoil the settling-in day.</t>
  </si>
  <si>
    <t xml:space="preserve">The operator notes Quitor and the sandboarding are two separate excursions even within one half day. Here they fall on different days, so they bill separately anyway. Do you confirm 09:30 – 11:30 on the 23rd?</t>
  </si>
  <si>
    <t xml:space="preserve">Lunch and rest at the hotel</t>
  </si>
  <si>
    <t xml:space="preserve">Laguna Cejar · floating at Laguna Piedra + Ojos de Tebenquiche + Tebenquiche Lagoon
It runs in the afternoon because agencies cannot operate Cejar in the morning. The time is the one the operator proposed. The relaxed-morning idea still holds: the 23rd starts late with only two hours of Quitor before it.</t>
  </si>
  <si>
    <t xml:space="preserve">Confirmed 15:30 – 19:30 on Wednesday the 23rd?</t>
  </si>
  <si>
    <t xml:space="preserve">Back to the hotel, shower and rest
An hour and a half between leaving the salt water and heading out under the sky.</t>
  </si>
  <si>
    <t xml:space="preserve">Astronomy tour · shared
Back to the 23rd and to the shared format, which is what was quoted: CLP 40,000 per person against the CLP 600,000 for the group the private tour costs on the 24th. It is also the night Segar asked about.</t>
  </si>
  <si>
    <t xml:space="preserve">Does the shared tour run on the night of the 23rd and does CLP 40,000 per person hold? Note: that night the moon is 99.9% illuminated — the 24th is the same, so switching nights changes nothing. Better to have the guide aim it at the moon and planets.</t>
  </si>
  <si>
    <t xml:space="preserve">Thursday 24</t>
  </si>
  <si>
    <t xml:space="preserve">Puritama Hot Springs · 3,500 m</t>
  </si>
  <si>
    <t xml:space="preserve">Is there a Christmas Eve supplement on Puritama? And is it feasible to be back in San Pedro by 13:30, with the next departure at 14:30?</t>
  </si>
  <si>
    <t xml:space="preserve">Lunch and rest</t>
  </si>
  <si>
    <t xml:space="preserve">Valle de la Muerte · sandboarding
This is what has already been confirmed to Segar for the 24th. It chains into Valle de la Luna, which sits right next door, with half an hour in between.</t>
  </si>
  <si>
    <t xml:space="preserve">Can you chain sandboarding 14:30 – 16:30 into Vallecito 17:00 – 21:00 on the same day, with half an hour between? They are in the same area, but the operator asked for buffer and we want it to hold.</t>
  </si>
  <si>
    <t xml:space="preserve">Valle de la Luna South · Vallecito at sunset
It leaves at 17:00 because the operator warns that at 17:30 there is no longer time to do it properly. And it moves to the 24th because Cejar takes the 23rd: both are afternoon excursions and cannot share a day.</t>
  </si>
  <si>
    <t xml:space="preserve">Confirmed 17:00 – 21:00 on the 24th? Is there a Christmas Eve supplement?</t>
  </si>
  <si>
    <t xml:space="preserve">Christmas Eve dinner
Segar has to confirm this. It was at 20:00, but Vallecito ends at 21:00. Either dinner moves to 21:30 — which for Christmas Eve in Chile is the normal hour — or Valle de la Luna cannot go on the 24th. No transfer from us: they take the hotel shuttle.</t>
  </si>
  <si>
    <t xml:space="preserve">Friday 25</t>
  </si>
  <si>
    <t xml:space="preserve">Altiplano · Laguna Chaxa, Toconao, Miscanti and Piedras Rojas
With Chaxa in, the operator runs it 08:00 to 18:00 and the 25 December rate lands at CLP 270,000 per person, against the 210,000 quoted. They tell us they do not recommend it: it makes for a very long day. Drop Chaxa and it gets shorter and cheaper.</t>
  </si>
  <si>
    <t xml:space="preserve">How much is the Chaxa entrance fee, to add it to the ones bought in advance? And if Chaxa comes out, what do the price and timing become?</t>
  </si>
  <si>
    <t xml:space="preserve">Dinner</t>
  </si>
  <si>
    <t xml:space="preserve">Saturday 26</t>
  </si>
  <si>
    <t xml:space="preserve">Free morning in San Pedro · breakfast and check-out
The last day carries no excursions.</t>
  </si>
  <si>
    <t xml:space="preserve">Transfer San Pedro → Calama
Brought forward to 10:00: at 1 h 45 for the transfer, leaving at 10:24 gave under two hours before the flight. It arrives 11:45 for the 13:44 flight.</t>
  </si>
  <si>
    <t xml:space="preserve">Do you confirm 10:00 hotel pickup to reach Calama at 11:45?</t>
  </si>
  <si>
    <t xml:space="preserve">Flight Calama → Santiago · LATAM</t>
  </si>
  <si>
    <t xml:space="preserve">International check-in in Santiago</t>
  </si>
  <si>
    <t xml:space="preserve">Flight Santiago → Dallas · AA940</t>
  </si>
  <si>
    <t xml:space="preserve">Preguntas que no cuelgan de una línea del itinerario</t>
  </si>
  <si>
    <t xml:space="preserve">Complete sólo la columna D («Respuesta del operador»), en amarillo.</t>
  </si>
  <si>
    <t xml:space="preserve">Pregunta</t>
  </si>
  <si>
    <t xml:space="preserve">Detalle</t>
  </si>
  <si>
    <t xml:space="preserve">Respuesta del operador</t>
  </si>
  <si>
    <t xml:space="preserve">Sí, sin recargo.</t>
  </si>
  <si>
    <t xml:space="preserve">Valor final del programa para 4 pasajeros</t>
  </si>
  <si>
    <t xml:space="preserve">Quedamos en que la cotización traía algunas alternativas con Valor Mínimo, que aplica bajo 3 pax y no es el caso. Esas alternativas además quedaron fuera de la elección. Necesitamos el valor por persona de los nueve servicios elegidos, con los recargos del 24 y 25 ya incluidos.</t>
  </si>
  <si>
    <t xml:space="preserve">Recargos de Nochebuena y Navidad, servicio por servicio</t>
  </si>
  <si>
    <t xml:space="preserve">Del 25 ya sabemos el valor con Chaxa (CLP 270.000 por pax). Falta saber si Puritama, el sandboard y el Vallecito del 24 llevan recargo.</t>
  </si>
  <si>
    <t xml:space="preserve">Entrada de Laguna Chaxa</t>
  </si>
  <si>
    <t xml:space="preserve">Falta el monto para sumarlo al resto de las entradas, que van todas por adelantado. Y si finalmente sacamos Chaxa, en cuánto queda el full day y con qué horario.</t>
  </si>
  <si>
    <t xml:space="preserve">Aire entre excursiones</t>
  </si>
  <si>
    <t xml:space="preserve">Nos pediste dejar margen por tránsito y accesos. En el cuadro dejamos una hora después de Puritama y media hora entre el sandboard y el Vallecito. Decinos si en algún punto queda corto.</t>
  </si>
  <si>
    <t xml:space="preserve">COT-2026-0160 · referencia interna</t>
  </si>
  <si>
    <t xml:space="preserve">QUÉ CAMBIÓ RESPECTO DE LO QUE EL CLIENTE YA VIO</t>
  </si>
  <si>
    <t xml:space="preserve">Cejar sólo se puede operar por la tarde</t>
  </si>
  <si>
    <t xml:space="preserve">Las agencias no pueden entrar a Cejar en la mañana, así que la salida de las 10:15 que habíamos armado no existe. Va el miércoles 23 de 15:30 a 19:30, que es el horario que propuso el operador. La idea de que el 23 fuera un día tranquilo se mantiene igual: la mañana lleva sólo dos horas de Quitor y después hay casi cuatro horas libres antes de salir al salar.</t>
  </si>
  <si>
    <t xml:space="preserve">El Vallecito sale 17:00 y por eso se va al 24</t>
  </si>
  <si>
    <t xml:space="preserve">El operador avisa que saliendo 17:30 no se alcanza a hacer bien: el máximo es 17:00, y la excursión queda de 17:00 a 21:00. Con eso, Cejar (15:30 – 19:30) y el Vallecito (17:00 – 21:00) se cruzan y ya no pueden ir el mismo día. Cejar se queda el 23 —así la astronomía de las 21:00 tiene hora y media de aire— y el Vallecito pasa al 24.</t>
  </si>
  <si>
    <t xml:space="preserve">La astronomía vuelve a compartida y al 23</t>
  </si>
  <si>
    <t xml:space="preserve">El privado del 24 sale CLP 600.000 por el grupo. El compartido que ya estaba cotizado son CLP 40.000 por persona, y es la noche por la que preguntó Segar: queda el 23 de 21:00 a 23:00. Un dato que conviene que sepan antes: esa noche la luna va al 99,9% de iluminación, y el 24 está igual. Cambiar de noche no mejora nada, así que lo que corresponde es que el guía lo oriente a luna y planetas.</t>
  </si>
  <si>
    <t xml:space="preserve">Quitor va la mañana del 23, y se cobra aparte</t>
  </si>
  <si>
    <t xml:space="preserve">El operador aclara que Quitor y el sandboard son dos excursiones distintas, aunque se hagan en el mismo medio día. Como el 26 tiene que quedar libre y las dos tardes se las llevan Cejar y el Vallecito, el único hueco que queda es la mañana del 23. Son dos horas a pasos del pueblo, así que no pesan en el día de llegada.</t>
  </si>
  <si>
    <t xml:space="preserve">Los traslados son de 1 h 45</t>
  </si>
  <si>
    <t xml:space="preserve">No de una hora larga como teníamos. Cambia las dos puntas del viaje: el 22 se llega al hotel a las 20:00 y no a las 19:15, y el 26 el traslado se adelanta a las 10:00 para llegar a Calama 11:45, con dos horas antes del vuelo de las 13:44.</t>
  </si>
  <si>
    <t xml:space="preserve">Lo que tiene que decidir Segar: la hora de la cena de Nochebuena</t>
  </si>
  <si>
    <t xml:space="preserve">El Vallecito termina a las 21:00 y la cena estaba a las 20:00. O la cena se corre a las 21:30 —que para Nochebuena en Chile es la hora normal— o el Valle de la Luna no puede ir el 24, y entonces habría que sacarlo del programa: no queda otra tarde donde ponerlo. El traslado a la cena ya no hace falta: Segar confirmó que usan el shuttle del hotel.</t>
  </si>
  <si>
    <t xml:space="preserve">VALORES COTIZADOS</t>
  </si>
  <si>
    <t xml:space="preserve">Servicio cotizado</t>
  </si>
  <si>
    <t xml:space="preserve">Cuándo va en el itinerario</t>
  </si>
  <si>
    <t xml:space="preserve">Servicio p/p</t>
  </si>
  <si>
    <t xml:space="preserve">Entradas p/p</t>
  </si>
  <si>
    <t xml:space="preserve">Subtotal p/p</t>
  </si>
  <si>
    <t xml:space="preserve">Total 4 pax</t>
  </si>
  <si>
    <t xml:space="preserve">Traslado de llegada · Aeropuerto El Loa → San Pedro</t>
  </si>
  <si>
    <t xml:space="preserve">martes 22 · 18:15 – 20:00</t>
  </si>
  <si>
    <t xml:space="preserve">Termas de Puritama</t>
  </si>
  <si>
    <t xml:space="preserve">jueves 24 · 09:30 – 13:30</t>
  </si>
  <si>
    <t xml:space="preserve">Valle de la Luna Sur</t>
  </si>
  <si>
    <t xml:space="preserve">jueves 24 · 17:00 – 21:00</t>
  </si>
  <si>
    <t xml:space="preserve">Tour astronómico</t>
  </si>
  <si>
    <t xml:space="preserve">miércoles 23 · 21:00 – 23:00</t>
  </si>
  <si>
    <t xml:space="preserve">Valle de Marte + Sandboard</t>
  </si>
  <si>
    <t xml:space="preserve">jueves 24 · 14:30 – 16:30</t>
  </si>
  <si>
    <t xml:space="preserve">Laguna Cejar + Ojos de Tebenquiche + Laguna de Tebenquiche</t>
  </si>
  <si>
    <t xml:space="preserve">miércoles 23 · 15:30 – 19:30</t>
  </si>
  <si>
    <t xml:space="preserve">Altiplano · Laguna Chaxa, Toconao, Miscanti y Piedras Rojas</t>
  </si>
  <si>
    <t xml:space="preserve">viernes 25 · 08:00 – 18:00</t>
  </si>
  <si>
    <t xml:space="preserve">Tour arqueológico · Pukará de Quitor</t>
  </si>
  <si>
    <t xml:space="preserve">miércoles 23 · 09:30 – 11:30</t>
  </si>
  <si>
    <t xml:space="preserve">Traslado de salida · San Pedro → Aeropuerto El Loa</t>
  </si>
  <si>
    <t xml:space="preserve">sábado 26 · 10:00 – 11:45</t>
  </si>
  <si>
    <t xml:space="preserve">TOTAL DEL PACK</t>
  </si>
  <si>
    <t xml:space="preserve">RESUMEN Y FUENTES</t>
  </si>
  <si>
    <t xml:space="preserve">Bloques del itinerario</t>
  </si>
  <si>
    <t xml:space="preserve">De ellos, servicios que operamos</t>
  </si>
  <si>
    <t xml:space="preserve">Ítems cotizados que cubren</t>
  </si>
  <si>
    <t xml:space="preserve">Total del pack por persona</t>
  </si>
  <si>
    <t xml:space="preserve">Total del pack para 4 pax</t>
  </si>
  <si>
    <t xml:space="preserve">Itinerario</t>
  </si>
  <si>
    <t xml:space="preserve">itinerario.mjs, la misma fuente que el PDF del itinerario propuesto. Horarios y notas no se escriben dos veces.</t>
  </si>
  <si>
    <t xml:space="preserve">Los 9 ítems en 8 bloques</t>
  </si>
  <si>
    <t xml:space="preserve">Quitor y el Valle de la Muerte van juntos en un solo medio día el 24, así que los nueve servicios cotizados caben en ocho bloques. El build falla si alguno queda fuera.</t>
  </si>
  <si>
    <t xml:space="preserve">Valores</t>
  </si>
  <si>
    <t xml:space="preserve">contenido.mjs, la misma fuente que la cotización COT-2026-0160. Sujetos a recotización: astronomía privada, alcance del full day del 25 y el medio día combinado Quitor + Valle de la Muerte.</t>
  </si>
  <si>
    <t xml:space="preserve">Cejar cierra los martes</t>
  </si>
  <si>
    <t xml:space="preserve">Dato del cliente. El único martes del viaje es el 22, día de llegada sin excursiones, así que no afecta.</t>
  </si>
  <si>
    <t xml:space="preserve">Fase lunar del 24</t>
  </si>
  <si>
    <t xml:space="preserve">Cálculo propio sobre la luna nueva del 6 ene 2000: la noche del 24 va al 99,4% de iluminación y ninguna otra noche del viaje baja del 92%.</t>
  </si>
  <si>
    <t xml:space="preserve">Tiempos de camino</t>
  </si>
  <si>
    <t xml:space="preserve">Estimados: San Pedro a Cejar unos 35 minutos, Quitor a Valle de la Muerte unos 20. Los confirma el operador.</t>
  </si>
</sst>
</file>

<file path=xl/styles.xml><?xml version="1.0" encoding="utf-8"?>
<styleSheet xmlns="http://schemas.openxmlformats.org/spreadsheetml/2006/main">
  <numFmts count="2">
    <numFmt numFmtId="164" formatCode="General"/>
    <numFmt numFmtId="165" formatCode="#,##0"/>
  </numFmts>
  <fonts count="14">
    <font>
      <sz val="11"/>
      <color theme="1"/>
      <name val="Calibri"/>
      <family val="2"/>
      <charset val="1"/>
    </font>
    <font>
      <sz val="10"/>
      <name val="Arial"/>
      <family val="0"/>
    </font>
    <font>
      <sz val="10"/>
      <name val="Arial"/>
      <family val="0"/>
    </font>
    <font>
      <sz val="10"/>
      <name val="Arial"/>
      <family val="0"/>
    </font>
    <font>
      <b val="true"/>
      <sz val="13"/>
      <color rgb="FF16232B"/>
      <name val="Arial"/>
      <family val="0"/>
      <charset val="1"/>
    </font>
    <font>
      <sz val="10"/>
      <color rgb="FFA0561F"/>
      <name val="Arial"/>
      <family val="0"/>
      <charset val="1"/>
    </font>
    <font>
      <b val="true"/>
      <sz val="9"/>
      <color rgb="FFFFFFFF"/>
      <name val="Arial"/>
      <family val="0"/>
      <charset val="1"/>
    </font>
    <font>
      <i val="true"/>
      <sz val="9"/>
      <color rgb="FF566A72"/>
      <name val="Arial"/>
      <family val="0"/>
      <charset val="1"/>
    </font>
    <font>
      <sz val="10"/>
      <color rgb="FF566A72"/>
      <name val="Arial"/>
      <family val="0"/>
      <charset val="1"/>
    </font>
    <font>
      <b val="true"/>
      <sz val="11"/>
      <color rgb="FFFFFFFF"/>
      <name val="Arial"/>
      <family val="0"/>
      <charset val="1"/>
    </font>
    <font>
      <sz val="10"/>
      <color rgb="FF16232B"/>
      <name val="Arial"/>
      <family val="0"/>
      <charset val="1"/>
    </font>
    <font>
      <b val="true"/>
      <sz val="10"/>
      <color rgb="FF16232B"/>
      <name val="Arial"/>
      <family val="0"/>
      <charset val="1"/>
    </font>
    <font>
      <b val="true"/>
      <sz val="10"/>
      <color rgb="FF0B5B54"/>
      <name val="Arial"/>
      <family val="0"/>
      <charset val="1"/>
    </font>
    <font>
      <b val="true"/>
      <sz val="10"/>
      <color rgb="FF0F766E"/>
      <name val="Arial"/>
      <family val="0"/>
      <charset val="1"/>
    </font>
  </fonts>
  <fills count="7">
    <fill>
      <patternFill patternType="none"/>
    </fill>
    <fill>
      <patternFill patternType="gray125"/>
    </fill>
    <fill>
      <patternFill patternType="solid">
        <fgColor rgb="FF0B5B54"/>
        <bgColor rgb="FF0F766E"/>
      </patternFill>
    </fill>
    <fill>
      <patternFill patternType="solid">
        <fgColor rgb="FFFFF9DB"/>
        <bgColor rgb="FFFDF3E9"/>
      </patternFill>
    </fill>
    <fill>
      <patternFill patternType="solid">
        <fgColor rgb="FFF3F8F8"/>
        <bgColor rgb="FFEAF5F3"/>
      </patternFill>
    </fill>
    <fill>
      <patternFill patternType="solid">
        <fgColor rgb="FFFDF3E9"/>
        <bgColor rgb="FFFFF9DB"/>
      </patternFill>
    </fill>
    <fill>
      <patternFill patternType="solid">
        <fgColor rgb="FFEAF5F3"/>
        <bgColor rgb="FFF3F8F8"/>
      </patternFill>
    </fill>
  </fills>
  <borders count="2">
    <border diagonalUp="false" diagonalDown="false">
      <left/>
      <right/>
      <top/>
      <bottom/>
      <diagonal/>
    </border>
    <border diagonalUp="false" diagonalDown="false">
      <left style="thin">
        <color rgb="FFD3E0E0"/>
      </left>
      <right style="thin">
        <color rgb="FFD3E0E0"/>
      </right>
      <top style="thin">
        <color rgb="FFD3E0E0"/>
      </top>
      <bottom style="thin">
        <color rgb="FFD3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center" vertical="top" textRotation="0" wrapText="fals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center"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5" fontId="10" fillId="0" borderId="1" xfId="0" applyFont="true" applyBorder="true" applyAlignment="true" applyProtection="false">
      <alignment horizontal="right" vertical="top" textRotation="0" wrapText="false" indent="0" shrinkToFit="false"/>
      <protection locked="true" hidden="false"/>
    </xf>
    <xf numFmtId="165" fontId="13" fillId="0" borderId="1" xfId="0" applyFont="true" applyBorder="true" applyAlignment="true" applyProtection="false">
      <alignment horizontal="right" vertical="top" textRotation="0" wrapText="fals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general" vertical="top" textRotation="0" wrapText="true" indent="0" shrinkToFit="false"/>
      <protection locked="true" hidden="false"/>
    </xf>
    <xf numFmtId="165" fontId="12" fillId="6" borderId="1" xfId="0" applyFont="true" applyBorder="true" applyAlignment="true" applyProtection="false">
      <alignment horizontal="right"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true" applyProtection="false">
      <alignment horizontal="left" vertical="top"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0B5B54"/>
          <bgColor rgb="FF000000"/>
        </patternFill>
      </fill>
    </dxf>
    <dxf>
      <fill>
        <patternFill patternType="solid">
          <fgColor rgb="FFF3F8F8"/>
          <bgColor rgb="FF000000"/>
        </patternFill>
      </fill>
    </dxf>
    <dxf>
      <fill>
        <patternFill patternType="solid">
          <fgColor rgb="FFFDF3E9"/>
          <bgColor rgb="FF000000"/>
        </patternFill>
      </fill>
    </dxf>
    <dxf>
      <fill>
        <patternFill patternType="solid">
          <fgColor rgb="FFFFF9DB"/>
          <bgColor rgb="FF000000"/>
        </patternFill>
      </fill>
    </dxf>
    <dxf>
      <fill>
        <patternFill patternType="solid">
          <fgColor rgb="FF566A72"/>
          <bgColor rgb="FF000000"/>
        </patternFill>
      </fill>
    </dxf>
    <dxf>
      <fill>
        <patternFill patternType="solid">
          <fgColor rgb="FFFFFFFF"/>
          <bgColor rgb="FF000000"/>
        </patternFill>
      </fill>
    </dxf>
    <dxf>
      <fill>
        <patternFill patternType="solid">
          <bgColor rgb="FF000000"/>
        </patternFill>
      </fill>
    </dxf>
    <dxf>
      <fill>
        <patternFill patternType="solid">
          <fgColor rgb="FF16232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0C0C0"/>
      <rgbColor rgb="FF808080"/>
      <rgbColor rgb="FF9999FF"/>
      <rgbColor rgb="FF993366"/>
      <rgbColor rgb="FFFFF9DB"/>
      <rgbColor rgb="FFEAF5F3"/>
      <rgbColor rgb="FF660066"/>
      <rgbColor rgb="FFFF8080"/>
      <rgbColor rgb="FF0066CC"/>
      <rgbColor rgb="FFD3E0E0"/>
      <rgbColor rgb="FF000080"/>
      <rgbColor rgb="FFFF00FF"/>
      <rgbColor rgb="FFFFFF00"/>
      <rgbColor rgb="FF00FFFF"/>
      <rgbColor rgb="FF800080"/>
      <rgbColor rgb="FF800000"/>
      <rgbColor rgb="FF008080"/>
      <rgbColor rgb="FF0000FF"/>
      <rgbColor rgb="FF00CCFF"/>
      <rgbColor rgb="FFF3F8F8"/>
      <rgbColor rgb="FFCCFFCC"/>
      <rgbColor rgb="FFFDF3E9"/>
      <rgbColor rgb="FF99CCFF"/>
      <rgbColor rgb="FFFF99CC"/>
      <rgbColor rgb="FFCC99FF"/>
      <rgbColor rgb="FFFFCC99"/>
      <rgbColor rgb="FF3366FF"/>
      <rgbColor rgb="FF33CCCC"/>
      <rgbColor rgb="FF99CC00"/>
      <rgbColor rgb="FFFFCC00"/>
      <rgbColor rgb="FFFF9900"/>
      <rgbColor rgb="FFFF6600"/>
      <rgbColor rgb="FF566A72"/>
      <rgbColor rgb="FF969696"/>
      <rgbColor rgb="FF0B5B54"/>
      <rgbColor rgb="FF339966"/>
      <rgbColor rgb="FF003300"/>
      <rgbColor rgb="FF333300"/>
      <rgbColor rgb="FFA0561F"/>
      <rgbColor rgb="FF993366"/>
      <rgbColor rgb="FF333399"/>
      <rgbColor rgb="FF16232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13"/>
    <col collapsed="false" customWidth="true" hidden="false" outlineLevel="0" max="5" min="4" style="0" width="8"/>
    <col collapsed="false" customWidth="true" hidden="false" outlineLevel="0" max="6" min="6" style="0" width="52"/>
    <col collapsed="false" customWidth="true" hidden="false" outlineLevel="0" max="7" min="7" style="0" width="10"/>
    <col collapsed="false" customWidth="true" hidden="false" outlineLevel="0" max="8" min="8" style="0" width="60"/>
    <col collapsed="false" customWidth="true" hidden="false" outlineLevel="0" max="9" min="9" style="0" width="13"/>
    <col collapsed="false" customWidth="true" hidden="false" outlineLevel="0" max="10" min="10" style="0" width="40"/>
  </cols>
  <sheetData>
    <row r="1" customFormat="false" ht="16.15" hidden="false" customHeight="false" outlineLevel="0" collapsed="false">
      <c r="A1" s="1" t="s">
        <v>0</v>
      </c>
      <c r="B1" s="1"/>
      <c r="C1" s="1"/>
      <c r="D1" s="1"/>
      <c r="E1" s="1"/>
      <c r="F1" s="1"/>
      <c r="G1" s="1"/>
      <c r="H1" s="1"/>
      <c r="I1" s="1"/>
      <c r="J1" s="1"/>
    </row>
    <row r="2" customFormat="false" ht="15.75" hidden="false" customHeight="true" outlineLevel="0" collapsed="false">
      <c r="A2" s="2" t="s">
        <v>1</v>
      </c>
      <c r="B2" s="2"/>
      <c r="C2" s="2"/>
      <c r="D2" s="2"/>
      <c r="E2" s="2"/>
      <c r="F2" s="2"/>
      <c r="G2" s="2"/>
      <c r="H2" s="2"/>
      <c r="I2" s="2"/>
      <c r="J2" s="2"/>
    </row>
    <row r="4" customFormat="false" ht="25.5" hidden="false" customHeight="true" outlineLevel="0" collapsed="false">
      <c r="A4" s="3" t="s">
        <v>2</v>
      </c>
      <c r="B4" s="3" t="s">
        <v>3</v>
      </c>
      <c r="C4" s="3" t="s">
        <v>4</v>
      </c>
      <c r="D4" s="3" t="s">
        <v>5</v>
      </c>
      <c r="E4" s="3" t="s">
        <v>6</v>
      </c>
      <c r="F4" s="3" t="s">
        <v>7</v>
      </c>
      <c r="G4" s="3" t="s">
        <v>8</v>
      </c>
      <c r="H4" s="3" t="s">
        <v>9</v>
      </c>
      <c r="I4" s="3" t="s">
        <v>10</v>
      </c>
      <c r="J4" s="3" t="s">
        <v>11</v>
      </c>
    </row>
    <row r="5" customFormat="false" ht="15" hidden="false" customHeight="false" outlineLevel="0" collapsed="false">
      <c r="A5" s="4" t="s">
        <v>12</v>
      </c>
      <c r="B5" s="4" t="s">
        <v>13</v>
      </c>
      <c r="C5" s="4" t="s">
        <v>14</v>
      </c>
      <c r="D5" s="4" t="s">
        <v>15</v>
      </c>
      <c r="E5" s="4" t="s">
        <v>15</v>
      </c>
      <c r="F5" s="4" t="s">
        <v>16</v>
      </c>
      <c r="G5" s="4" t="s">
        <v>17</v>
      </c>
      <c r="H5" s="4" t="s">
        <v>18</v>
      </c>
      <c r="I5" s="4" t="s">
        <v>19</v>
      </c>
      <c r="J5" s="4" t="s">
        <v>20</v>
      </c>
    </row>
    <row r="6" customFormat="false" ht="15" hidden="false" customHeight="false" outlineLevel="0" collapsed="false">
      <c r="A6" s="5"/>
      <c r="B6" s="6" t="s">
        <v>21</v>
      </c>
      <c r="C6" s="6" t="s">
        <v>22</v>
      </c>
      <c r="D6" s="7" t="s">
        <v>23</v>
      </c>
      <c r="E6" s="7" t="s">
        <v>24</v>
      </c>
      <c r="F6" s="6" t="s">
        <v>25</v>
      </c>
      <c r="G6" s="7" t="s">
        <v>26</v>
      </c>
      <c r="H6" s="6"/>
      <c r="I6" s="8"/>
      <c r="J6" s="8"/>
    </row>
    <row r="7" customFormat="false" ht="46.25" hidden="false" customHeight="false" outlineLevel="0" collapsed="false">
      <c r="A7" s="9" t="n">
        <v>1</v>
      </c>
      <c r="B7" s="10" t="s">
        <v>21</v>
      </c>
      <c r="C7" s="10" t="s">
        <v>22</v>
      </c>
      <c r="D7" s="11" t="s">
        <v>27</v>
      </c>
      <c r="E7" s="11" t="s">
        <v>28</v>
      </c>
      <c r="F7" s="12" t="s">
        <v>29</v>
      </c>
      <c r="G7" s="11" t="s">
        <v>17</v>
      </c>
      <c r="H7" s="10" t="s">
        <v>30</v>
      </c>
      <c r="I7" s="13"/>
      <c r="J7" s="13"/>
    </row>
    <row r="8" customFormat="false" ht="15" hidden="false" customHeight="false" outlineLevel="0" collapsed="false">
      <c r="A8" s="5"/>
      <c r="B8" s="6" t="s">
        <v>21</v>
      </c>
      <c r="C8" s="6" t="s">
        <v>22</v>
      </c>
      <c r="D8" s="7" t="s">
        <v>28</v>
      </c>
      <c r="E8" s="7" t="s">
        <v>31</v>
      </c>
      <c r="F8" s="6" t="s">
        <v>32</v>
      </c>
      <c r="G8" s="7" t="s">
        <v>33</v>
      </c>
      <c r="H8" s="6"/>
      <c r="I8" s="8"/>
      <c r="J8" s="8"/>
    </row>
    <row r="9" customFormat="false" ht="46.25" hidden="false" customHeight="false" outlineLevel="0" collapsed="false">
      <c r="A9" s="9" t="n">
        <v>2</v>
      </c>
      <c r="B9" s="10" t="s">
        <v>34</v>
      </c>
      <c r="C9" s="10" t="s">
        <v>35</v>
      </c>
      <c r="D9" s="11" t="s">
        <v>36</v>
      </c>
      <c r="E9" s="11" t="s">
        <v>37</v>
      </c>
      <c r="F9" s="12" t="s">
        <v>38</v>
      </c>
      <c r="G9" s="11" t="s">
        <v>17</v>
      </c>
      <c r="H9" s="10" t="s">
        <v>39</v>
      </c>
      <c r="I9" s="13"/>
      <c r="J9" s="13"/>
    </row>
    <row r="10" customFormat="false" ht="15" hidden="false" customHeight="false" outlineLevel="0" collapsed="false">
      <c r="A10" s="5"/>
      <c r="B10" s="6" t="s">
        <v>34</v>
      </c>
      <c r="C10" s="6" t="s">
        <v>35</v>
      </c>
      <c r="D10" s="7" t="s">
        <v>37</v>
      </c>
      <c r="E10" s="7" t="s">
        <v>40</v>
      </c>
      <c r="F10" s="6" t="s">
        <v>41</v>
      </c>
      <c r="G10" s="7" t="s">
        <v>33</v>
      </c>
      <c r="H10" s="6"/>
      <c r="I10" s="8"/>
      <c r="J10" s="8"/>
    </row>
    <row r="11" customFormat="false" ht="57.45" hidden="false" customHeight="false" outlineLevel="0" collapsed="false">
      <c r="A11" s="9" t="n">
        <v>3</v>
      </c>
      <c r="B11" s="10" t="s">
        <v>34</v>
      </c>
      <c r="C11" s="10" t="s">
        <v>35</v>
      </c>
      <c r="D11" s="11" t="s">
        <v>42</v>
      </c>
      <c r="E11" s="11" t="s">
        <v>43</v>
      </c>
      <c r="F11" s="12" t="s">
        <v>44</v>
      </c>
      <c r="G11" s="11" t="s">
        <v>17</v>
      </c>
      <c r="H11" s="10" t="s">
        <v>45</v>
      </c>
      <c r="I11" s="13"/>
      <c r="J11" s="13"/>
    </row>
    <row r="12" customFormat="false" ht="23.85" hidden="false" customHeight="false" outlineLevel="0" collapsed="false">
      <c r="A12" s="5"/>
      <c r="B12" s="6" t="s">
        <v>34</v>
      </c>
      <c r="C12" s="6" t="s">
        <v>35</v>
      </c>
      <c r="D12" s="7" t="s">
        <v>43</v>
      </c>
      <c r="E12" s="7" t="s">
        <v>31</v>
      </c>
      <c r="F12" s="6" t="s">
        <v>46</v>
      </c>
      <c r="G12" s="7" t="s">
        <v>33</v>
      </c>
      <c r="H12" s="6"/>
      <c r="I12" s="8"/>
      <c r="J12" s="8"/>
    </row>
    <row r="13" customFormat="false" ht="46.25" hidden="false" customHeight="false" outlineLevel="0" collapsed="false">
      <c r="A13" s="9" t="n">
        <v>4</v>
      </c>
      <c r="B13" s="10" t="s">
        <v>34</v>
      </c>
      <c r="C13" s="10" t="s">
        <v>35</v>
      </c>
      <c r="D13" s="11" t="s">
        <v>31</v>
      </c>
      <c r="E13" s="11" t="s">
        <v>47</v>
      </c>
      <c r="F13" s="12" t="s">
        <v>48</v>
      </c>
      <c r="G13" s="11" t="s">
        <v>17</v>
      </c>
      <c r="H13" s="10" t="s">
        <v>49</v>
      </c>
      <c r="I13" s="13"/>
      <c r="J13" s="13"/>
    </row>
    <row r="14" customFormat="false" ht="23.85" hidden="false" customHeight="false" outlineLevel="0" collapsed="false">
      <c r="A14" s="9" t="n">
        <v>5</v>
      </c>
      <c r="B14" s="14" t="s">
        <v>50</v>
      </c>
      <c r="C14" s="14" t="s">
        <v>51</v>
      </c>
      <c r="D14" s="15" t="s">
        <v>36</v>
      </c>
      <c r="E14" s="15" t="s">
        <v>52</v>
      </c>
      <c r="F14" s="16" t="s">
        <v>53</v>
      </c>
      <c r="G14" s="15" t="s">
        <v>17</v>
      </c>
      <c r="H14" s="14" t="s">
        <v>54</v>
      </c>
      <c r="I14" s="13"/>
      <c r="J14" s="13"/>
    </row>
    <row r="15" customFormat="false" ht="15" hidden="false" customHeight="false" outlineLevel="0" collapsed="false">
      <c r="A15" s="5"/>
      <c r="B15" s="6" t="s">
        <v>50</v>
      </c>
      <c r="C15" s="6" t="s">
        <v>51</v>
      </c>
      <c r="D15" s="7" t="s">
        <v>52</v>
      </c>
      <c r="E15" s="7" t="s">
        <v>55</v>
      </c>
      <c r="F15" s="6" t="s">
        <v>56</v>
      </c>
      <c r="G15" s="7" t="s">
        <v>33</v>
      </c>
      <c r="H15" s="6"/>
      <c r="I15" s="8"/>
      <c r="J15" s="8"/>
    </row>
    <row r="16" customFormat="false" ht="35.05" hidden="false" customHeight="false" outlineLevel="0" collapsed="false">
      <c r="A16" s="9" t="n">
        <v>6</v>
      </c>
      <c r="B16" s="14" t="s">
        <v>50</v>
      </c>
      <c r="C16" s="14" t="s">
        <v>51</v>
      </c>
      <c r="D16" s="15" t="s">
        <v>55</v>
      </c>
      <c r="E16" s="15" t="s">
        <v>57</v>
      </c>
      <c r="F16" s="16" t="s">
        <v>58</v>
      </c>
      <c r="G16" s="15" t="s">
        <v>17</v>
      </c>
      <c r="H16" s="14" t="s">
        <v>59</v>
      </c>
      <c r="I16" s="13"/>
      <c r="J16" s="13"/>
    </row>
    <row r="17" customFormat="false" ht="46.25" hidden="false" customHeight="false" outlineLevel="0" collapsed="false">
      <c r="A17" s="9" t="n">
        <v>7</v>
      </c>
      <c r="B17" s="10" t="s">
        <v>50</v>
      </c>
      <c r="C17" s="10" t="s">
        <v>51</v>
      </c>
      <c r="D17" s="11" t="s">
        <v>60</v>
      </c>
      <c r="E17" s="11" t="s">
        <v>31</v>
      </c>
      <c r="F17" s="12" t="s">
        <v>61</v>
      </c>
      <c r="G17" s="11" t="s">
        <v>17</v>
      </c>
      <c r="H17" s="10" t="s">
        <v>62</v>
      </c>
      <c r="I17" s="13"/>
      <c r="J17" s="13"/>
    </row>
    <row r="18" customFormat="false" ht="57.45" hidden="false" customHeight="false" outlineLevel="0" collapsed="false">
      <c r="A18" s="17"/>
      <c r="B18" s="18" t="s">
        <v>50</v>
      </c>
      <c r="C18" s="18" t="s">
        <v>51</v>
      </c>
      <c r="D18" s="19" t="s">
        <v>63</v>
      </c>
      <c r="E18" s="19"/>
      <c r="F18" s="18" t="s">
        <v>64</v>
      </c>
      <c r="G18" s="19" t="s">
        <v>26</v>
      </c>
      <c r="H18" s="18"/>
      <c r="I18" s="8"/>
      <c r="J18" s="8"/>
    </row>
    <row r="19" customFormat="false" ht="57.45" hidden="false" customHeight="false" outlineLevel="0" collapsed="false">
      <c r="A19" s="9" t="n">
        <v>8</v>
      </c>
      <c r="B19" s="14" t="s">
        <v>65</v>
      </c>
      <c r="C19" s="14" t="s">
        <v>66</v>
      </c>
      <c r="D19" s="15" t="s">
        <v>67</v>
      </c>
      <c r="E19" s="15" t="s">
        <v>68</v>
      </c>
      <c r="F19" s="16" t="s">
        <v>69</v>
      </c>
      <c r="G19" s="15" t="s">
        <v>17</v>
      </c>
      <c r="H19" s="14" t="s">
        <v>70</v>
      </c>
      <c r="I19" s="13"/>
      <c r="J19" s="13"/>
    </row>
    <row r="20" customFormat="false" ht="15" hidden="false" customHeight="false" outlineLevel="0" collapsed="false">
      <c r="A20" s="5"/>
      <c r="B20" s="6" t="s">
        <v>65</v>
      </c>
      <c r="C20" s="6" t="s">
        <v>66</v>
      </c>
      <c r="D20" s="7" t="s">
        <v>28</v>
      </c>
      <c r="E20" s="7" t="s">
        <v>63</v>
      </c>
      <c r="F20" s="6" t="s">
        <v>71</v>
      </c>
      <c r="G20" s="7" t="s">
        <v>26</v>
      </c>
      <c r="H20" s="6"/>
      <c r="I20" s="8"/>
      <c r="J20" s="8"/>
    </row>
    <row r="21" customFormat="false" ht="23.85" hidden="false" customHeight="false" outlineLevel="0" collapsed="false">
      <c r="A21" s="5"/>
      <c r="B21" s="6" t="s">
        <v>72</v>
      </c>
      <c r="C21" s="6" t="s">
        <v>73</v>
      </c>
      <c r="D21" s="7" t="s">
        <v>67</v>
      </c>
      <c r="E21" s="7" t="s">
        <v>74</v>
      </c>
      <c r="F21" s="6" t="s">
        <v>75</v>
      </c>
      <c r="G21" s="7" t="s">
        <v>33</v>
      </c>
      <c r="H21" s="6"/>
      <c r="I21" s="8"/>
      <c r="J21" s="8"/>
    </row>
    <row r="22" customFormat="false" ht="35.05" hidden="false" customHeight="false" outlineLevel="0" collapsed="false">
      <c r="A22" s="9" t="n">
        <v>9</v>
      </c>
      <c r="B22" s="10" t="s">
        <v>72</v>
      </c>
      <c r="C22" s="10" t="s">
        <v>73</v>
      </c>
      <c r="D22" s="11" t="s">
        <v>76</v>
      </c>
      <c r="E22" s="11" t="s">
        <v>77</v>
      </c>
      <c r="F22" s="12" t="s">
        <v>78</v>
      </c>
      <c r="G22" s="11" t="s">
        <v>17</v>
      </c>
      <c r="H22" s="10" t="s">
        <v>79</v>
      </c>
      <c r="I22" s="13"/>
      <c r="J22" s="13"/>
    </row>
    <row r="23" customFormat="false" ht="15" hidden="false" customHeight="false" outlineLevel="0" collapsed="false">
      <c r="A23" s="5"/>
      <c r="B23" s="6" t="s">
        <v>72</v>
      </c>
      <c r="C23" s="6" t="s">
        <v>73</v>
      </c>
      <c r="D23" s="7" t="s">
        <v>80</v>
      </c>
      <c r="E23" s="7" t="s">
        <v>81</v>
      </c>
      <c r="F23" s="6" t="s">
        <v>82</v>
      </c>
      <c r="G23" s="7" t="s">
        <v>26</v>
      </c>
      <c r="H23" s="6"/>
      <c r="I23" s="8"/>
      <c r="J23" s="8"/>
    </row>
    <row r="24" customFormat="false" ht="15" hidden="false" customHeight="false" outlineLevel="0" collapsed="false">
      <c r="A24" s="5"/>
      <c r="B24" s="6" t="s">
        <v>72</v>
      </c>
      <c r="C24" s="6" t="s">
        <v>73</v>
      </c>
      <c r="D24" s="7" t="s">
        <v>28</v>
      </c>
      <c r="E24" s="7" t="s">
        <v>83</v>
      </c>
      <c r="F24" s="6" t="s">
        <v>84</v>
      </c>
      <c r="G24" s="7" t="s">
        <v>26</v>
      </c>
      <c r="H24" s="6"/>
      <c r="I24" s="8"/>
      <c r="J24" s="8"/>
    </row>
    <row r="25" customFormat="false" ht="15" hidden="false" customHeight="false" outlineLevel="0" collapsed="false">
      <c r="A25" s="5"/>
      <c r="B25" s="6" t="s">
        <v>72</v>
      </c>
      <c r="C25" s="6" t="s">
        <v>73</v>
      </c>
      <c r="D25" s="7" t="s">
        <v>83</v>
      </c>
      <c r="E25" s="7" t="s">
        <v>85</v>
      </c>
      <c r="F25" s="6" t="s">
        <v>86</v>
      </c>
      <c r="G25" s="7" t="s">
        <v>26</v>
      </c>
      <c r="H25" s="6"/>
      <c r="I25" s="8"/>
      <c r="J25" s="8"/>
    </row>
  </sheetData>
  <autoFilter ref="A4:J25"/>
  <mergeCells count="2">
    <mergeCell ref="A1:J1"/>
    <mergeCell ref="A2:J2"/>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13"/>
    <col collapsed="false" customWidth="true" hidden="false" outlineLevel="0" max="5" min="4" style="0" width="8"/>
    <col collapsed="false" customWidth="true" hidden="false" outlineLevel="0" max="6" min="6" style="0" width="52"/>
    <col collapsed="false" customWidth="true" hidden="false" outlineLevel="0" max="7" min="7" style="0" width="12"/>
    <col collapsed="false" customWidth="true" hidden="false" outlineLevel="0" max="8" min="8" style="0" width="60"/>
    <col collapsed="false" customWidth="true" hidden="false" outlineLevel="0" max="9" min="9" style="0" width="13"/>
    <col collapsed="false" customWidth="true" hidden="false" outlineLevel="0" max="10" min="10" style="0" width="40"/>
  </cols>
  <sheetData>
    <row r="1" customFormat="false" ht="16.15" hidden="false" customHeight="false" outlineLevel="0" collapsed="false">
      <c r="A1" s="1" t="s">
        <v>87</v>
      </c>
      <c r="B1" s="1"/>
      <c r="C1" s="1"/>
      <c r="D1" s="1"/>
      <c r="E1" s="1"/>
      <c r="F1" s="1"/>
      <c r="G1" s="1"/>
      <c r="H1" s="1"/>
      <c r="I1" s="1"/>
      <c r="J1" s="1"/>
    </row>
    <row r="2" customFormat="false" ht="15.75" hidden="false" customHeight="true" outlineLevel="0" collapsed="false">
      <c r="A2" s="2" t="s">
        <v>88</v>
      </c>
      <c r="B2" s="2"/>
      <c r="C2" s="2"/>
      <c r="D2" s="2"/>
      <c r="E2" s="2"/>
      <c r="F2" s="2"/>
      <c r="G2" s="2"/>
      <c r="H2" s="2"/>
      <c r="I2" s="2"/>
      <c r="J2" s="2"/>
    </row>
    <row r="4" customFormat="false" ht="25.5" hidden="false" customHeight="true" outlineLevel="0" collapsed="false">
      <c r="A4" s="3" t="s">
        <v>2</v>
      </c>
      <c r="B4" s="3" t="s">
        <v>89</v>
      </c>
      <c r="C4" s="3" t="s">
        <v>90</v>
      </c>
      <c r="D4" s="3" t="s">
        <v>91</v>
      </c>
      <c r="E4" s="3" t="s">
        <v>92</v>
      </c>
      <c r="F4" s="3" t="s">
        <v>93</v>
      </c>
      <c r="G4" s="3" t="s">
        <v>94</v>
      </c>
      <c r="H4" s="3" t="s">
        <v>95</v>
      </c>
      <c r="I4" s="3" t="s">
        <v>96</v>
      </c>
      <c r="J4" s="3" t="s">
        <v>97</v>
      </c>
    </row>
    <row r="5" customFormat="false" ht="15" hidden="false" customHeight="false" outlineLevel="0" collapsed="false">
      <c r="A5" s="4" t="s">
        <v>12</v>
      </c>
      <c r="B5" s="4" t="s">
        <v>13</v>
      </c>
      <c r="C5" s="4" t="s">
        <v>98</v>
      </c>
      <c r="D5" s="4" t="s">
        <v>15</v>
      </c>
      <c r="E5" s="4" t="s">
        <v>15</v>
      </c>
      <c r="F5" s="4" t="s">
        <v>99</v>
      </c>
      <c r="G5" s="4" t="s">
        <v>17</v>
      </c>
      <c r="H5" s="4" t="s">
        <v>100</v>
      </c>
      <c r="I5" s="4" t="s">
        <v>101</v>
      </c>
      <c r="J5" s="4" t="s">
        <v>102</v>
      </c>
    </row>
    <row r="6" customFormat="false" ht="15" hidden="false" customHeight="false" outlineLevel="0" collapsed="false">
      <c r="A6" s="5"/>
      <c r="B6" s="6" t="s">
        <v>21</v>
      </c>
      <c r="C6" s="6" t="s">
        <v>103</v>
      </c>
      <c r="D6" s="7" t="s">
        <v>23</v>
      </c>
      <c r="E6" s="7" t="s">
        <v>24</v>
      </c>
      <c r="F6" s="6" t="s">
        <v>104</v>
      </c>
      <c r="G6" s="7" t="s">
        <v>105</v>
      </c>
      <c r="H6" s="6"/>
      <c r="I6" s="8"/>
      <c r="J6" s="8"/>
    </row>
    <row r="7" customFormat="false" ht="46.25" hidden="false" customHeight="false" outlineLevel="0" collapsed="false">
      <c r="A7" s="9" t="n">
        <v>1</v>
      </c>
      <c r="B7" s="10" t="s">
        <v>21</v>
      </c>
      <c r="C7" s="10" t="s">
        <v>103</v>
      </c>
      <c r="D7" s="11" t="s">
        <v>27</v>
      </c>
      <c r="E7" s="11" t="s">
        <v>28</v>
      </c>
      <c r="F7" s="12" t="s">
        <v>106</v>
      </c>
      <c r="G7" s="11" t="s">
        <v>17</v>
      </c>
      <c r="H7" s="10" t="s">
        <v>107</v>
      </c>
      <c r="I7" s="13"/>
      <c r="J7" s="13"/>
    </row>
    <row r="8" customFormat="false" ht="15" hidden="false" customHeight="false" outlineLevel="0" collapsed="false">
      <c r="A8" s="5"/>
      <c r="B8" s="6" t="s">
        <v>21</v>
      </c>
      <c r="C8" s="6" t="s">
        <v>103</v>
      </c>
      <c r="D8" s="7" t="s">
        <v>28</v>
      </c>
      <c r="E8" s="7" t="s">
        <v>31</v>
      </c>
      <c r="F8" s="6" t="s">
        <v>108</v>
      </c>
      <c r="G8" s="7" t="s">
        <v>109</v>
      </c>
      <c r="H8" s="6"/>
      <c r="I8" s="8"/>
      <c r="J8" s="8"/>
    </row>
    <row r="9" customFormat="false" ht="46.25" hidden="false" customHeight="false" outlineLevel="0" collapsed="false">
      <c r="A9" s="9" t="n">
        <v>2</v>
      </c>
      <c r="B9" s="10" t="s">
        <v>34</v>
      </c>
      <c r="C9" s="10" t="s">
        <v>110</v>
      </c>
      <c r="D9" s="11" t="s">
        <v>36</v>
      </c>
      <c r="E9" s="11" t="s">
        <v>37</v>
      </c>
      <c r="F9" s="12" t="s">
        <v>111</v>
      </c>
      <c r="G9" s="11" t="s">
        <v>17</v>
      </c>
      <c r="H9" s="10" t="s">
        <v>112</v>
      </c>
      <c r="I9" s="13"/>
      <c r="J9" s="13"/>
    </row>
    <row r="10" customFormat="false" ht="15" hidden="false" customHeight="false" outlineLevel="0" collapsed="false">
      <c r="A10" s="5"/>
      <c r="B10" s="6" t="s">
        <v>34</v>
      </c>
      <c r="C10" s="6" t="s">
        <v>110</v>
      </c>
      <c r="D10" s="7" t="s">
        <v>37</v>
      </c>
      <c r="E10" s="7" t="s">
        <v>40</v>
      </c>
      <c r="F10" s="6" t="s">
        <v>113</v>
      </c>
      <c r="G10" s="7" t="s">
        <v>109</v>
      </c>
      <c r="H10" s="6"/>
      <c r="I10" s="8"/>
      <c r="J10" s="8"/>
    </row>
    <row r="11" customFormat="false" ht="57.45" hidden="false" customHeight="false" outlineLevel="0" collapsed="false">
      <c r="A11" s="9" t="n">
        <v>3</v>
      </c>
      <c r="B11" s="10" t="s">
        <v>34</v>
      </c>
      <c r="C11" s="10" t="s">
        <v>110</v>
      </c>
      <c r="D11" s="11" t="s">
        <v>42</v>
      </c>
      <c r="E11" s="11" t="s">
        <v>43</v>
      </c>
      <c r="F11" s="12" t="s">
        <v>114</v>
      </c>
      <c r="G11" s="11" t="s">
        <v>17</v>
      </c>
      <c r="H11" s="10" t="s">
        <v>115</v>
      </c>
      <c r="I11" s="13"/>
      <c r="J11" s="13"/>
    </row>
    <row r="12" customFormat="false" ht="23.85" hidden="false" customHeight="false" outlineLevel="0" collapsed="false">
      <c r="A12" s="5"/>
      <c r="B12" s="6" t="s">
        <v>34</v>
      </c>
      <c r="C12" s="6" t="s">
        <v>110</v>
      </c>
      <c r="D12" s="7" t="s">
        <v>43</v>
      </c>
      <c r="E12" s="7" t="s">
        <v>31</v>
      </c>
      <c r="F12" s="6" t="s">
        <v>116</v>
      </c>
      <c r="G12" s="7" t="s">
        <v>109</v>
      </c>
      <c r="H12" s="6"/>
      <c r="I12" s="8"/>
      <c r="J12" s="8"/>
    </row>
    <row r="13" customFormat="false" ht="46.25" hidden="false" customHeight="false" outlineLevel="0" collapsed="false">
      <c r="A13" s="9" t="n">
        <v>4</v>
      </c>
      <c r="B13" s="10" t="s">
        <v>34</v>
      </c>
      <c r="C13" s="10" t="s">
        <v>110</v>
      </c>
      <c r="D13" s="11" t="s">
        <v>31</v>
      </c>
      <c r="E13" s="11" t="s">
        <v>47</v>
      </c>
      <c r="F13" s="12" t="s">
        <v>117</v>
      </c>
      <c r="G13" s="11" t="s">
        <v>17</v>
      </c>
      <c r="H13" s="10" t="s">
        <v>118</v>
      </c>
      <c r="I13" s="13"/>
      <c r="J13" s="13"/>
    </row>
    <row r="14" customFormat="false" ht="23.85" hidden="false" customHeight="false" outlineLevel="0" collapsed="false">
      <c r="A14" s="9" t="n">
        <v>5</v>
      </c>
      <c r="B14" s="14" t="s">
        <v>50</v>
      </c>
      <c r="C14" s="14" t="s">
        <v>119</v>
      </c>
      <c r="D14" s="15" t="s">
        <v>36</v>
      </c>
      <c r="E14" s="15" t="s">
        <v>52</v>
      </c>
      <c r="F14" s="16" t="s">
        <v>120</v>
      </c>
      <c r="G14" s="15" t="s">
        <v>17</v>
      </c>
      <c r="H14" s="14" t="s">
        <v>121</v>
      </c>
      <c r="I14" s="13"/>
      <c r="J14" s="13"/>
    </row>
    <row r="15" customFormat="false" ht="15" hidden="false" customHeight="false" outlineLevel="0" collapsed="false">
      <c r="A15" s="5"/>
      <c r="B15" s="6" t="s">
        <v>50</v>
      </c>
      <c r="C15" s="6" t="s">
        <v>119</v>
      </c>
      <c r="D15" s="7" t="s">
        <v>52</v>
      </c>
      <c r="E15" s="7" t="s">
        <v>55</v>
      </c>
      <c r="F15" s="6" t="s">
        <v>122</v>
      </c>
      <c r="G15" s="7" t="s">
        <v>109</v>
      </c>
      <c r="H15" s="6"/>
      <c r="I15" s="8"/>
      <c r="J15" s="8"/>
    </row>
    <row r="16" customFormat="false" ht="35.05" hidden="false" customHeight="false" outlineLevel="0" collapsed="false">
      <c r="A16" s="9" t="n">
        <v>6</v>
      </c>
      <c r="B16" s="14" t="s">
        <v>50</v>
      </c>
      <c r="C16" s="14" t="s">
        <v>119</v>
      </c>
      <c r="D16" s="15" t="s">
        <v>55</v>
      </c>
      <c r="E16" s="15" t="s">
        <v>57</v>
      </c>
      <c r="F16" s="16" t="s">
        <v>123</v>
      </c>
      <c r="G16" s="15" t="s">
        <v>17</v>
      </c>
      <c r="H16" s="14" t="s">
        <v>124</v>
      </c>
      <c r="I16" s="13"/>
      <c r="J16" s="13"/>
    </row>
    <row r="17" customFormat="false" ht="46.25" hidden="false" customHeight="false" outlineLevel="0" collapsed="false">
      <c r="A17" s="9" t="n">
        <v>7</v>
      </c>
      <c r="B17" s="10" t="s">
        <v>50</v>
      </c>
      <c r="C17" s="10" t="s">
        <v>119</v>
      </c>
      <c r="D17" s="11" t="s">
        <v>60</v>
      </c>
      <c r="E17" s="11" t="s">
        <v>31</v>
      </c>
      <c r="F17" s="12" t="s">
        <v>125</v>
      </c>
      <c r="G17" s="11" t="s">
        <v>17</v>
      </c>
      <c r="H17" s="10" t="s">
        <v>126</v>
      </c>
      <c r="I17" s="13"/>
      <c r="J17" s="13"/>
    </row>
    <row r="18" customFormat="false" ht="57.45" hidden="false" customHeight="false" outlineLevel="0" collapsed="false">
      <c r="A18" s="17"/>
      <c r="B18" s="18" t="s">
        <v>50</v>
      </c>
      <c r="C18" s="18" t="s">
        <v>119</v>
      </c>
      <c r="D18" s="19" t="s">
        <v>63</v>
      </c>
      <c r="E18" s="19"/>
      <c r="F18" s="18" t="s">
        <v>127</v>
      </c>
      <c r="G18" s="19" t="s">
        <v>105</v>
      </c>
      <c r="H18" s="18"/>
      <c r="I18" s="8"/>
      <c r="J18" s="8"/>
    </row>
    <row r="19" customFormat="false" ht="57.45" hidden="false" customHeight="false" outlineLevel="0" collapsed="false">
      <c r="A19" s="9" t="n">
        <v>8</v>
      </c>
      <c r="B19" s="14" t="s">
        <v>65</v>
      </c>
      <c r="C19" s="14" t="s">
        <v>128</v>
      </c>
      <c r="D19" s="15" t="s">
        <v>67</v>
      </c>
      <c r="E19" s="15" t="s">
        <v>68</v>
      </c>
      <c r="F19" s="16" t="s">
        <v>129</v>
      </c>
      <c r="G19" s="15" t="s">
        <v>17</v>
      </c>
      <c r="H19" s="14" t="s">
        <v>130</v>
      </c>
      <c r="I19" s="13"/>
      <c r="J19" s="13"/>
    </row>
    <row r="20" customFormat="false" ht="15" hidden="false" customHeight="false" outlineLevel="0" collapsed="false">
      <c r="A20" s="5"/>
      <c r="B20" s="6" t="s">
        <v>65</v>
      </c>
      <c r="C20" s="6" t="s">
        <v>128</v>
      </c>
      <c r="D20" s="7" t="s">
        <v>28</v>
      </c>
      <c r="E20" s="7" t="s">
        <v>63</v>
      </c>
      <c r="F20" s="6" t="s">
        <v>131</v>
      </c>
      <c r="G20" s="7" t="s">
        <v>105</v>
      </c>
      <c r="H20" s="6"/>
      <c r="I20" s="8"/>
      <c r="J20" s="8"/>
    </row>
    <row r="21" customFormat="false" ht="23.85" hidden="false" customHeight="false" outlineLevel="0" collapsed="false">
      <c r="A21" s="5"/>
      <c r="B21" s="6" t="s">
        <v>72</v>
      </c>
      <c r="C21" s="6" t="s">
        <v>132</v>
      </c>
      <c r="D21" s="7" t="s">
        <v>67</v>
      </c>
      <c r="E21" s="7" t="s">
        <v>74</v>
      </c>
      <c r="F21" s="6" t="s">
        <v>133</v>
      </c>
      <c r="G21" s="7" t="s">
        <v>109</v>
      </c>
      <c r="H21" s="6"/>
      <c r="I21" s="8"/>
      <c r="J21" s="8"/>
    </row>
    <row r="22" customFormat="false" ht="35.05" hidden="false" customHeight="false" outlineLevel="0" collapsed="false">
      <c r="A22" s="9" t="n">
        <v>9</v>
      </c>
      <c r="B22" s="10" t="s">
        <v>72</v>
      </c>
      <c r="C22" s="10" t="s">
        <v>132</v>
      </c>
      <c r="D22" s="11" t="s">
        <v>76</v>
      </c>
      <c r="E22" s="11" t="s">
        <v>77</v>
      </c>
      <c r="F22" s="12" t="s">
        <v>134</v>
      </c>
      <c r="G22" s="11" t="s">
        <v>17</v>
      </c>
      <c r="H22" s="10" t="s">
        <v>135</v>
      </c>
      <c r="I22" s="13"/>
      <c r="J22" s="13"/>
    </row>
    <row r="23" customFormat="false" ht="15" hidden="false" customHeight="false" outlineLevel="0" collapsed="false">
      <c r="A23" s="5"/>
      <c r="B23" s="6" t="s">
        <v>72</v>
      </c>
      <c r="C23" s="6" t="s">
        <v>132</v>
      </c>
      <c r="D23" s="7" t="s">
        <v>80</v>
      </c>
      <c r="E23" s="7" t="s">
        <v>81</v>
      </c>
      <c r="F23" s="6" t="s">
        <v>136</v>
      </c>
      <c r="G23" s="7" t="s">
        <v>105</v>
      </c>
      <c r="H23" s="6"/>
      <c r="I23" s="8"/>
      <c r="J23" s="8"/>
    </row>
    <row r="24" customFormat="false" ht="15" hidden="false" customHeight="false" outlineLevel="0" collapsed="false">
      <c r="A24" s="5"/>
      <c r="B24" s="6" t="s">
        <v>72</v>
      </c>
      <c r="C24" s="6" t="s">
        <v>132</v>
      </c>
      <c r="D24" s="7" t="s">
        <v>28</v>
      </c>
      <c r="E24" s="7" t="s">
        <v>83</v>
      </c>
      <c r="F24" s="6" t="s">
        <v>137</v>
      </c>
      <c r="G24" s="7" t="s">
        <v>105</v>
      </c>
      <c r="H24" s="6"/>
      <c r="I24" s="8"/>
      <c r="J24" s="8"/>
    </row>
    <row r="25" customFormat="false" ht="15" hidden="false" customHeight="false" outlineLevel="0" collapsed="false">
      <c r="A25" s="5"/>
      <c r="B25" s="6" t="s">
        <v>72</v>
      </c>
      <c r="C25" s="6" t="s">
        <v>132</v>
      </c>
      <c r="D25" s="7" t="s">
        <v>83</v>
      </c>
      <c r="E25" s="7" t="s">
        <v>85</v>
      </c>
      <c r="F25" s="6" t="s">
        <v>138</v>
      </c>
      <c r="G25" s="7" t="s">
        <v>105</v>
      </c>
      <c r="H25" s="6"/>
      <c r="I25" s="8"/>
      <c r="J25" s="8"/>
    </row>
  </sheetData>
  <autoFilter ref="A4:J25"/>
  <mergeCells count="2">
    <mergeCell ref="A1:J1"/>
    <mergeCell ref="A2:J2"/>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3" min="3" style="0" width="72"/>
    <col collapsed="false" customWidth="true" hidden="false" outlineLevel="0" max="4" min="4" style="0" width="40"/>
  </cols>
  <sheetData>
    <row r="1" customFormat="false" ht="16.15" hidden="false" customHeight="false" outlineLevel="0" collapsed="false">
      <c r="A1" s="20" t="s">
        <v>139</v>
      </c>
    </row>
    <row r="2" customFormat="false" ht="15" hidden="false" customHeight="false" outlineLevel="0" collapsed="false">
      <c r="A2" s="21" t="s">
        <v>140</v>
      </c>
    </row>
    <row r="4" customFormat="false" ht="25.5" hidden="false" customHeight="true" outlineLevel="0" collapsed="false">
      <c r="A4" s="3" t="s">
        <v>2</v>
      </c>
      <c r="B4" s="3" t="s">
        <v>141</v>
      </c>
      <c r="C4" s="3" t="s">
        <v>142</v>
      </c>
      <c r="D4" s="3" t="s">
        <v>143</v>
      </c>
    </row>
    <row r="5" customFormat="false" ht="15" hidden="false" customHeight="false" outlineLevel="0" collapsed="false">
      <c r="A5" s="4" t="n">
        <v>0</v>
      </c>
      <c r="B5" s="4" t="s">
        <v>16</v>
      </c>
      <c r="C5" s="4" t="s">
        <v>18</v>
      </c>
      <c r="D5" s="4" t="s">
        <v>144</v>
      </c>
    </row>
    <row r="6" customFormat="false" ht="35.05" hidden="false" customHeight="false" outlineLevel="0" collapsed="false">
      <c r="A6" s="15" t="n">
        <v>1</v>
      </c>
      <c r="B6" s="16" t="s">
        <v>145</v>
      </c>
      <c r="C6" s="14" t="s">
        <v>146</v>
      </c>
      <c r="D6" s="13"/>
    </row>
    <row r="7" customFormat="false" ht="23.85" hidden="false" customHeight="false" outlineLevel="0" collapsed="false">
      <c r="A7" s="15" t="n">
        <v>2</v>
      </c>
      <c r="B7" s="16" t="s">
        <v>147</v>
      </c>
      <c r="C7" s="14" t="s">
        <v>148</v>
      </c>
      <c r="D7" s="13"/>
    </row>
    <row r="8" customFormat="false" ht="23.85" hidden="false" customHeight="false" outlineLevel="0" collapsed="false">
      <c r="A8" s="15" t="n">
        <v>3</v>
      </c>
      <c r="B8" s="16" t="s">
        <v>149</v>
      </c>
      <c r="C8" s="14" t="s">
        <v>150</v>
      </c>
      <c r="D8" s="13"/>
    </row>
    <row r="9" customFormat="false" ht="23.85" hidden="false" customHeight="false" outlineLevel="0" collapsed="false">
      <c r="A9" s="15" t="n">
        <v>4</v>
      </c>
      <c r="B9" s="16" t="s">
        <v>151</v>
      </c>
      <c r="C9" s="14" t="s">
        <v>152</v>
      </c>
      <c r="D9" s="13"/>
    </row>
  </sheetData>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42"/>
    <col collapsed="false" customWidth="true" hidden="false" outlineLevel="0" max="3" min="3" style="0" width="30"/>
    <col collapsed="false" customWidth="true" hidden="false" outlineLevel="0" max="7" min="4" style="0" width="15"/>
  </cols>
  <sheetData>
    <row r="1" customFormat="false" ht="16.15" hidden="false" customHeight="false" outlineLevel="0" collapsed="false">
      <c r="A1" s="20" t="s">
        <v>153</v>
      </c>
    </row>
    <row r="3" customFormat="false" ht="15" hidden="false" customHeight="false" outlineLevel="0" collapsed="false">
      <c r="A3" s="22" t="s">
        <v>154</v>
      </c>
    </row>
    <row r="4" customFormat="false" ht="102.2" hidden="false" customHeight="false" outlineLevel="0" collapsed="false">
      <c r="A4" s="23" t="n">
        <v>1</v>
      </c>
      <c r="B4" s="24" t="s">
        <v>155</v>
      </c>
      <c r="C4" s="25" t="s">
        <v>156</v>
      </c>
    </row>
    <row r="5" customFormat="false" ht="91" hidden="false" customHeight="false" outlineLevel="0" collapsed="false">
      <c r="A5" s="23" t="n">
        <v>2</v>
      </c>
      <c r="B5" s="24" t="s">
        <v>157</v>
      </c>
      <c r="C5" s="25" t="s">
        <v>158</v>
      </c>
    </row>
    <row r="6" customFormat="false" ht="113.4" hidden="false" customHeight="false" outlineLevel="0" collapsed="false">
      <c r="A6" s="23" t="n">
        <v>3</v>
      </c>
      <c r="B6" s="24" t="s">
        <v>159</v>
      </c>
      <c r="C6" s="25" t="s">
        <v>160</v>
      </c>
    </row>
    <row r="7" customFormat="false" ht="91" hidden="false" customHeight="false" outlineLevel="0" collapsed="false">
      <c r="A7" s="23" t="n">
        <v>4</v>
      </c>
      <c r="B7" s="24" t="s">
        <v>161</v>
      </c>
      <c r="C7" s="25" t="s">
        <v>162</v>
      </c>
    </row>
    <row r="8" customFormat="false" ht="68.65" hidden="false" customHeight="false" outlineLevel="0" collapsed="false">
      <c r="A8" s="23" t="n">
        <v>5</v>
      </c>
      <c r="B8" s="24" t="s">
        <v>163</v>
      </c>
      <c r="C8" s="25" t="s">
        <v>164</v>
      </c>
    </row>
    <row r="9" customFormat="false" ht="91" hidden="false" customHeight="false" outlineLevel="0" collapsed="false">
      <c r="A9" s="23" t="n">
        <v>6</v>
      </c>
      <c r="B9" s="24" t="s">
        <v>165</v>
      </c>
      <c r="C9" s="25" t="s">
        <v>166</v>
      </c>
    </row>
    <row r="11" customFormat="false" ht="15" hidden="false" customHeight="false" outlineLevel="0" collapsed="false">
      <c r="A11" s="22" t="s">
        <v>167</v>
      </c>
    </row>
    <row r="12" customFormat="false" ht="15" hidden="false" customHeight="false" outlineLevel="0" collapsed="false">
      <c r="A12" s="3" t="s">
        <v>2</v>
      </c>
      <c r="B12" s="3" t="s">
        <v>168</v>
      </c>
      <c r="C12" s="3" t="s">
        <v>169</v>
      </c>
      <c r="D12" s="3" t="s">
        <v>170</v>
      </c>
      <c r="E12" s="3" t="s">
        <v>171</v>
      </c>
      <c r="F12" s="3" t="s">
        <v>172</v>
      </c>
      <c r="G12" s="3" t="s">
        <v>173</v>
      </c>
    </row>
    <row r="13" customFormat="false" ht="15" hidden="false" customHeight="false" outlineLevel="0" collapsed="false">
      <c r="A13" s="15" t="n">
        <v>1</v>
      </c>
      <c r="B13" s="14" t="s">
        <v>174</v>
      </c>
      <c r="C13" s="26" t="s">
        <v>175</v>
      </c>
      <c r="D13" s="27" t="n">
        <v>30000</v>
      </c>
      <c r="E13" s="27" t="n">
        <v>0</v>
      </c>
      <c r="F13" s="28" t="n">
        <f aca="false">D13+E13</f>
        <v>30000</v>
      </c>
      <c r="G13" s="27" t="n">
        <f aca="false">F13*4</f>
        <v>120000</v>
      </c>
    </row>
    <row r="14" customFormat="false" ht="15" hidden="false" customHeight="false" outlineLevel="0" collapsed="false">
      <c r="A14" s="15" t="n">
        <v>2</v>
      </c>
      <c r="B14" s="14" t="s">
        <v>176</v>
      </c>
      <c r="C14" s="26" t="s">
        <v>177</v>
      </c>
      <c r="D14" s="27" t="n">
        <v>75000</v>
      </c>
      <c r="E14" s="27" t="n">
        <v>35000</v>
      </c>
      <c r="F14" s="28" t="n">
        <f aca="false">D14+E14</f>
        <v>110000</v>
      </c>
      <c r="G14" s="27" t="n">
        <f aca="false">F14*4</f>
        <v>440000</v>
      </c>
    </row>
    <row r="15" customFormat="false" ht="15" hidden="false" customHeight="false" outlineLevel="0" collapsed="false">
      <c r="A15" s="15" t="n">
        <v>3</v>
      </c>
      <c r="B15" s="14" t="s">
        <v>178</v>
      </c>
      <c r="C15" s="26" t="s">
        <v>179</v>
      </c>
      <c r="D15" s="27" t="n">
        <v>75000</v>
      </c>
      <c r="E15" s="27" t="n">
        <v>0</v>
      </c>
      <c r="F15" s="28" t="n">
        <f aca="false">D15+E15</f>
        <v>75000</v>
      </c>
      <c r="G15" s="27" t="n">
        <f aca="false">F15*4</f>
        <v>300000</v>
      </c>
    </row>
    <row r="16" customFormat="false" ht="15" hidden="false" customHeight="false" outlineLevel="0" collapsed="false">
      <c r="A16" s="15" t="n">
        <v>4</v>
      </c>
      <c r="B16" s="14" t="s">
        <v>180</v>
      </c>
      <c r="C16" s="26" t="s">
        <v>181</v>
      </c>
      <c r="D16" s="27" t="n">
        <v>40000</v>
      </c>
      <c r="E16" s="27" t="n">
        <v>0</v>
      </c>
      <c r="F16" s="28" t="n">
        <f aca="false">D16+E16</f>
        <v>40000</v>
      </c>
      <c r="G16" s="27" t="n">
        <f aca="false">F16*4</f>
        <v>160000</v>
      </c>
    </row>
    <row r="17" customFormat="false" ht="15" hidden="false" customHeight="false" outlineLevel="0" collapsed="false">
      <c r="A17" s="15" t="n">
        <v>5</v>
      </c>
      <c r="B17" s="14" t="s">
        <v>182</v>
      </c>
      <c r="C17" s="26" t="s">
        <v>183</v>
      </c>
      <c r="D17" s="27" t="n">
        <v>110000</v>
      </c>
      <c r="E17" s="27" t="n">
        <v>7500</v>
      </c>
      <c r="F17" s="28" t="n">
        <f aca="false">D17+E17</f>
        <v>117500</v>
      </c>
      <c r="G17" s="27" t="n">
        <f aca="false">F17*4</f>
        <v>470000</v>
      </c>
    </row>
    <row r="18" customFormat="false" ht="15" hidden="false" customHeight="false" outlineLevel="0" collapsed="false">
      <c r="A18" s="15" t="n">
        <v>6</v>
      </c>
      <c r="B18" s="14" t="s">
        <v>184</v>
      </c>
      <c r="C18" s="26" t="s">
        <v>185</v>
      </c>
      <c r="D18" s="27" t="n">
        <v>80000</v>
      </c>
      <c r="E18" s="27" t="n">
        <v>21000</v>
      </c>
      <c r="F18" s="28" t="n">
        <f aca="false">D18+E18</f>
        <v>101000</v>
      </c>
      <c r="G18" s="27" t="n">
        <f aca="false">F18*4</f>
        <v>404000</v>
      </c>
    </row>
    <row r="19" customFormat="false" ht="15" hidden="false" customHeight="false" outlineLevel="0" collapsed="false">
      <c r="A19" s="15" t="n">
        <v>7</v>
      </c>
      <c r="B19" s="14" t="s">
        <v>186</v>
      </c>
      <c r="C19" s="26" t="s">
        <v>187</v>
      </c>
      <c r="D19" s="27" t="n">
        <v>270000</v>
      </c>
      <c r="E19" s="27" t="n">
        <v>15000</v>
      </c>
      <c r="F19" s="28" t="n">
        <f aca="false">D19+E19</f>
        <v>285000</v>
      </c>
      <c r="G19" s="27" t="n">
        <f aca="false">F19*4</f>
        <v>1140000</v>
      </c>
    </row>
    <row r="20" customFormat="false" ht="15" hidden="false" customHeight="false" outlineLevel="0" collapsed="false">
      <c r="A20" s="15" t="n">
        <v>8</v>
      </c>
      <c r="B20" s="14" t="s">
        <v>188</v>
      </c>
      <c r="C20" s="26" t="s">
        <v>189</v>
      </c>
      <c r="D20" s="27" t="n">
        <v>75000</v>
      </c>
      <c r="E20" s="27" t="n">
        <v>6000</v>
      </c>
      <c r="F20" s="28" t="n">
        <f aca="false">D20+E20</f>
        <v>81000</v>
      </c>
      <c r="G20" s="27" t="n">
        <f aca="false">F20*4</f>
        <v>324000</v>
      </c>
    </row>
    <row r="21" customFormat="false" ht="15" hidden="false" customHeight="false" outlineLevel="0" collapsed="false">
      <c r="A21" s="15" t="n">
        <v>9</v>
      </c>
      <c r="B21" s="14" t="s">
        <v>190</v>
      </c>
      <c r="C21" s="26" t="s">
        <v>191</v>
      </c>
      <c r="D21" s="27" t="n">
        <v>30000</v>
      </c>
      <c r="E21" s="27" t="n">
        <v>0</v>
      </c>
      <c r="F21" s="28" t="n">
        <f aca="false">D21+E21</f>
        <v>30000</v>
      </c>
      <c r="G21" s="27" t="n">
        <f aca="false">F21*4</f>
        <v>120000</v>
      </c>
    </row>
    <row r="22" customFormat="false" ht="15" hidden="false" customHeight="false" outlineLevel="0" collapsed="false">
      <c r="A22" s="29"/>
      <c r="B22" s="30" t="s">
        <v>192</v>
      </c>
      <c r="C22" s="29"/>
      <c r="D22" s="31" t="n">
        <f aca="false">SUM(D13:D21)</f>
        <v>785000</v>
      </c>
      <c r="E22" s="31" t="n">
        <f aca="false">SUM(E13:E21)</f>
        <v>84500</v>
      </c>
      <c r="F22" s="31" t="n">
        <f aca="false">SUM(F13:F21)</f>
        <v>869500</v>
      </c>
      <c r="G22" s="31" t="n">
        <f aca="false">SUM(G13:G21)</f>
        <v>3478000</v>
      </c>
    </row>
    <row r="24" customFormat="false" ht="15" hidden="false" customHeight="false" outlineLevel="0" collapsed="false">
      <c r="A24" s="22" t="s">
        <v>193</v>
      </c>
    </row>
    <row r="25" customFormat="false" ht="15" hidden="false" customHeight="false" outlineLevel="0" collapsed="false">
      <c r="B25" s="32" t="s">
        <v>194</v>
      </c>
      <c r="C25" s="33" t="n">
        <f aca="false">COUNTA(Itinerario!B6:B25)</f>
        <v>20</v>
      </c>
    </row>
    <row r="26" customFormat="false" ht="15" hidden="false" customHeight="false" outlineLevel="0" collapsed="false">
      <c r="B26" s="32" t="s">
        <v>195</v>
      </c>
      <c r="C26" s="33" t="n">
        <f aca="false">COUNTA(Itinerario!A6:A25)</f>
        <v>9</v>
      </c>
    </row>
    <row r="27" customFormat="false" ht="15" hidden="false" customHeight="false" outlineLevel="0" collapsed="false">
      <c r="B27" s="32" t="s">
        <v>196</v>
      </c>
      <c r="C27" s="33" t="n">
        <f aca="false">COUNTA(B13:B21)</f>
        <v>9</v>
      </c>
    </row>
    <row r="28" customFormat="false" ht="15" hidden="false" customHeight="false" outlineLevel="0" collapsed="false">
      <c r="B28" s="32" t="s">
        <v>197</v>
      </c>
      <c r="C28" s="33" t="n">
        <f aca="false">F22</f>
        <v>869500</v>
      </c>
    </row>
    <row r="29" customFormat="false" ht="15" hidden="false" customHeight="false" outlineLevel="0" collapsed="false">
      <c r="B29" s="32" t="s">
        <v>198</v>
      </c>
      <c r="C29" s="33" t="n">
        <f aca="false">G22</f>
        <v>3478000</v>
      </c>
    </row>
    <row r="31" customFormat="false" ht="35.05" hidden="false" customHeight="false" outlineLevel="0" collapsed="false">
      <c r="B31" s="34" t="s">
        <v>199</v>
      </c>
      <c r="C31" s="25" t="s">
        <v>200</v>
      </c>
    </row>
    <row r="32" customFormat="false" ht="46.25" hidden="false" customHeight="false" outlineLevel="0" collapsed="false">
      <c r="B32" s="34" t="s">
        <v>201</v>
      </c>
      <c r="C32" s="25" t="s">
        <v>202</v>
      </c>
    </row>
    <row r="33" customFormat="false" ht="57.45" hidden="false" customHeight="false" outlineLevel="0" collapsed="false">
      <c r="B33" s="34" t="s">
        <v>203</v>
      </c>
      <c r="C33" s="25" t="s">
        <v>204</v>
      </c>
    </row>
    <row r="34" customFormat="false" ht="35.05" hidden="false" customHeight="false" outlineLevel="0" collapsed="false">
      <c r="B34" s="34" t="s">
        <v>205</v>
      </c>
      <c r="C34" s="25" t="s">
        <v>206</v>
      </c>
    </row>
    <row r="35" customFormat="false" ht="46.25" hidden="false" customHeight="false" outlineLevel="0" collapsed="false">
      <c r="B35" s="34" t="s">
        <v>207</v>
      </c>
      <c r="C35" s="25" t="s">
        <v>208</v>
      </c>
    </row>
    <row r="36" customFormat="false" ht="35.05" hidden="false" customHeight="false" outlineLevel="0" collapsed="false">
      <c r="B36" s="34" t="s">
        <v>209</v>
      </c>
      <c r="C36" s="25" t="s">
        <v>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2026-08-25T12:39:29Z</dcterms:created>
  <dc:creator>openpyxl</dc:creator>
  <dc:description/>
  <dc:language>en-US</dc:language>
  <cp:lastModifiedBy/>
  <dcterms:modified xsi:type="dcterms:W3CDTF">2026-08-25T12:39:30Z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